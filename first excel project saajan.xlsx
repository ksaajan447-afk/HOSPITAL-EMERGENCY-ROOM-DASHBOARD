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https://d.docs.live.net/B7755792EEC25BB4/Documents/"/>
    </mc:Choice>
  </mc:AlternateContent>
  <xr:revisionPtr revIDLastSave="2" documentId="8_{42507F15-EBB2-4D16-9B0B-E6F84202D07B}" xr6:coauthVersionLast="47" xr6:coauthVersionMax="47" xr10:uidLastSave="{337C876E-C13B-4058-9872-969B22E578C9}"/>
  <bookViews>
    <workbookView xWindow="-108" yWindow="-108" windowWidth="23256" windowHeight="13176" activeTab="3" xr2:uid="{10E57AC5-89E3-40B9-B40D-8046C2B2EAFD}"/>
  </bookViews>
  <sheets>
    <sheet name="pivot report" sheetId="1" r:id="rId1"/>
    <sheet name="Average wait time daily trend" sheetId="4" r:id="rId2"/>
    <sheet name="Daily ER No.of patient" sheetId="3" r:id="rId3"/>
    <sheet name="dashboard" sheetId="2" r:id="rId4"/>
    <sheet name="satisfaction score daily trend"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2c87cd3-54b9-4d0b-96b4-6dabcf12d293" name="Hospital Emergency Room Data" connection="Query - Hospital Emergency Room Data"/>
          <x15:modelTable id="Calendar_table_e13b4cb3-7988-426a-a4f1-8a06fd5daa7c"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8" i="1" l="1"/>
  <c r="A47" i="1"/>
  <c r="C48" i="1"/>
  <c r="C47" i="1"/>
  <c r="B47" i="1"/>
  <c r="B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671EAE-4F74-4FFF-AA00-4BB258DC2EFD}" name="Query - Calendar_table" description="Connection to the 'Calendar_table' query in the workbook." type="100" refreshedVersion="8" minRefreshableVersion="5">
    <extLst>
      <ext xmlns:x15="http://schemas.microsoft.com/office/spreadsheetml/2010/11/main" uri="{DE250136-89BD-433C-8126-D09CA5730AF9}">
        <x15:connection id="4b3270ef-0baa-4f02-91f1-83fd116929f8"/>
      </ext>
    </extLst>
  </connection>
  <connection id="2" xr16:uid="{1398065D-94B9-47E2-BFD8-27E54C6927E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4670c23-a629-46df-a8a6-08e326c887e6"/>
      </ext>
    </extLst>
  </connection>
  <connection id="3" xr16:uid="{C548458C-A1F7-408C-A2DC-23D8E7E433F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<sst xmlns="http://schemas.openxmlformats.org/spreadsheetml/2006/main" count="156" uniqueCount="77">
  <si>
    <t>Distinct Count of Patient Id</t>
  </si>
  <si>
    <t>No. of patient</t>
  </si>
  <si>
    <t>Average of Patient Waittime</t>
  </si>
  <si>
    <t>Average of Patient Satisfaction Score</t>
  </si>
  <si>
    <t>Row Labels</t>
  </si>
  <si>
    <t>Grand Total</t>
  </si>
  <si>
    <t>Showing a daily trend with an area sparkline to spot patterns like busy days or seasonals trends.</t>
  </si>
  <si>
    <t>daily tends of no.of patient</t>
  </si>
  <si>
    <t>average wait time</t>
  </si>
  <si>
    <t>Use an area chart to track daily changes and highlight days with longer wait time that might need improvement</t>
  </si>
  <si>
    <t>use an area chart to show trends, spot drops in satisfaction, and link them to busy times or challenges.</t>
  </si>
  <si>
    <t>satisfaction score daily trend</t>
  </si>
  <si>
    <t>Count of Patient Admission Flag</t>
  </si>
  <si>
    <t>Admitted</t>
  </si>
  <si>
    <t>Not Admitted</t>
  </si>
  <si>
    <t>Count of Patient Admission Flag2</t>
  </si>
  <si>
    <t>Admission Status</t>
  </si>
  <si>
    <t>%Status</t>
  </si>
  <si>
    <t>No.of Patient</t>
  </si>
  <si>
    <t>Count of Age Group</t>
  </si>
  <si>
    <t>00-09</t>
  </si>
  <si>
    <t>10-19</t>
  </si>
  <si>
    <t>20-29</t>
  </si>
  <si>
    <t>30-39</t>
  </si>
  <si>
    <t>40-49</t>
  </si>
  <si>
    <t>50-59</t>
  </si>
  <si>
    <t>60-69</t>
  </si>
  <si>
    <t>70-79</t>
  </si>
  <si>
    <t>age group wise analysis</t>
  </si>
  <si>
    <t>Delay</t>
  </si>
  <si>
    <t>Ontime</t>
  </si>
  <si>
    <t>Count of Patient Attend Status</t>
  </si>
  <si>
    <t>attended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</si>
  <si>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</si>
  <si>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</si>
  <si>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</si>
  <si>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</si>
  <si>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</si>
  <si>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</si>
  <si>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</si>
  <si>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</si>
  <si>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</si>
  <si>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</si>
  <si>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</si>
  <si>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</si>
  <si>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</si>
  <si>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2023</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</si>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</sst>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1"/>
      <color theme="7" tint="0.39997558519241921"/>
      <name val="Calibri"/>
      <family val="2"/>
      <scheme val="minor"/>
    </font>
    <font>
      <b/>
      <i/>
      <sz val="11"/>
      <color theme="1"/>
      <name val="Calibri"/>
      <family val="2"/>
      <scheme val="minor"/>
    </font>
    <font>
      <b/>
      <i/>
      <sz val="11"/>
      <color theme="2" tint="-0.89999084444715716"/>
      <name val="Calibri"/>
      <family val="2"/>
      <scheme val="minor"/>
    </font>
    <font>
      <sz val="11"/>
      <color theme="1"/>
      <name val="Calibri"/>
      <family val="2"/>
      <scheme val="minor"/>
    </font>
    <font>
      <b/>
      <sz val="11"/>
      <color theme="1"/>
      <name val="Calibri"/>
      <family val="2"/>
      <scheme val="minor"/>
    </font>
    <font>
      <sz val="24"/>
      <color rgb="FF000000"/>
      <name val="Calibri"/>
      <family val="2"/>
      <scheme val="minor"/>
    </font>
  </fonts>
  <fills count="9">
    <fill>
      <patternFill patternType="none"/>
    </fill>
    <fill>
      <patternFill patternType="gray125"/>
    </fill>
    <fill>
      <patternFill patternType="solid">
        <fgColor theme="1"/>
        <bgColor indexed="64"/>
      </patternFill>
    </fill>
    <fill>
      <patternFill patternType="solid">
        <fgColor rgb="FF7030A0"/>
        <bgColor indexed="64"/>
      </patternFill>
    </fill>
    <fill>
      <patternFill patternType="solid">
        <fgColor theme="6" tint="-0.249977111117893"/>
        <bgColor indexed="64"/>
      </patternFill>
    </fill>
    <fill>
      <patternFill patternType="solid">
        <fgColor theme="4" tint="-0.249977111117893"/>
        <bgColor indexed="64"/>
      </patternFill>
    </fill>
    <fill>
      <patternFill patternType="solid">
        <fgColor theme="2" tint="-0.249977111117893"/>
        <bgColor indexed="64"/>
      </patternFill>
    </fill>
    <fill>
      <patternFill patternType="solid">
        <fgColor theme="0"/>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0">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2" fillId="0" borderId="0" xfId="0" applyFont="1"/>
    <xf numFmtId="10" fontId="0" fillId="0" borderId="0" xfId="0" applyNumberFormat="1"/>
    <xf numFmtId="0" fontId="0" fillId="5" borderId="0" xfId="0" applyFill="1"/>
    <xf numFmtId="0" fontId="0" fillId="6" borderId="0" xfId="0" applyFill="1"/>
    <xf numFmtId="0" fontId="0" fillId="7" borderId="0" xfId="0" applyFill="1"/>
    <xf numFmtId="9" fontId="0" fillId="7" borderId="0" xfId="1" applyFont="1" applyFill="1"/>
    <xf numFmtId="0" fontId="5" fillId="8" borderId="0" xfId="0" applyFont="1" applyFill="1" applyAlignment="1">
      <alignment horizontal="left"/>
    </xf>
    <xf numFmtId="0" fontId="5" fillId="8" borderId="0" xfId="0" applyFont="1" applyFill="1"/>
    <xf numFmtId="0" fontId="0" fillId="8" borderId="0" xfId="0" applyFill="1"/>
    <xf numFmtId="1" fontId="0" fillId="0" borderId="0" xfId="0" applyNumberFormat="1"/>
    <xf numFmtId="0" fontId="6" fillId="0" borderId="0" xfId="0" applyFont="1" applyAlignment="1">
      <alignment horizontal="right" vertical="center"/>
    </xf>
    <xf numFmtId="0" fontId="2" fillId="0" borderId="0" xfId="0" applyFont="1"/>
    <xf numFmtId="0" fontId="3" fillId="4" borderId="0" xfId="0" applyFont="1" applyFill="1"/>
    <xf numFmtId="0" fontId="1" fillId="3" borderId="0" xfId="0" applyFont="1" applyFill="1"/>
  </cellXfs>
  <cellStyles count="2">
    <cellStyle name="Normal" xfId="0" builtinId="0"/>
    <cellStyle name="Percent" xfId="1" builtinId="5"/>
  </cellStyles>
  <dxfs count="18">
    <dxf>
      <numFmt numFmtId="2" formatCode="0.00"/>
    </dxf>
    <dxf>
      <alignment horizontal="center"/>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alignment horizontal="center"/>
    </dxf>
    <dxf>
      <numFmt numFmtId="2" formatCode="0.00"/>
    </dxf>
    <dxf>
      <alignment horizontal="center"/>
    </dxf>
    <dxf>
      <numFmt numFmtId="1" formatCode="0"/>
    </dxf>
    <dxf>
      <numFmt numFmtId="2" formatCode="0.00"/>
    </dxf>
    <dxf>
      <numFmt numFmtId="2" formatCode="0.00"/>
    </dxf>
    <dxf>
      <numFmt numFmtId="2" formatCode="0.00"/>
    </dxf>
    <dxf>
      <font>
        <b/>
        <color theme="1"/>
      </font>
      <border>
        <bottom style="thin">
          <color theme="5"/>
        </bottom>
        <vertical/>
        <horizontal/>
      </border>
    </dxf>
    <dxf>
      <font>
        <b/>
        <i val="0"/>
        <sz val="18"/>
        <color theme="1"/>
      </font>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saajan style" pivot="0" table="0" count="10" xr9:uid="{F3703D44-61AC-4168-BD03-E9CDBA01246D}">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aajan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 saajan.xlsx]pivot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layout>
            <c:manualLayout>
              <c:x val="0.21844994189957809"/>
              <c:y val="-3.1977848263685729E-2"/>
            </c:manualLayout>
          </c:layout>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3"/>
        <c:spPr>
          <a:solidFill>
            <a:schemeClr val="accent1"/>
          </a:solidFill>
          <a:ln>
            <a:noFill/>
          </a:ln>
          <a:effectLst/>
        </c:spPr>
        <c:dLbl>
          <c:idx val="0"/>
          <c:layout>
            <c:manualLayout>
              <c:x val="0.20214753905267621"/>
              <c:y val="-7.4687254172013936E-17"/>
            </c:manualLayout>
          </c:layout>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9356788814715074"/>
                  <c:h val="0.50039006764594174"/>
                </c:manualLayout>
              </c15:layout>
              <c15:showDataLabelsRange val="1"/>
            </c:ext>
          </c:extLst>
        </c:dLbl>
      </c:pivotFmt>
    </c:pivotFmts>
    <c:plotArea>
      <c:layout>
        <c:manualLayout>
          <c:layoutTarget val="inner"/>
          <c:xMode val="edge"/>
          <c:yMode val="edge"/>
          <c:x val="3.9680129374424999E-2"/>
          <c:y val="4.3995524487009718E-2"/>
          <c:w val="0.7892506792863262"/>
          <c:h val="0.89581449461266971"/>
        </c:manualLayout>
      </c:layout>
      <c:barChart>
        <c:barDir val="bar"/>
        <c:grouping val="clustered"/>
        <c:varyColors val="0"/>
        <c:ser>
          <c:idx val="0"/>
          <c:order val="0"/>
          <c:tx>
            <c:strRef>
              <c:f>'pivot report'!$B$52</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83FD-4A55-B87A-5FE984F2F0C4}"/>
              </c:ext>
            </c:extLst>
          </c:dPt>
          <c:dPt>
            <c:idx val="1"/>
            <c:invertIfNegative val="0"/>
            <c:bubble3D val="0"/>
            <c:extLst>
              <c:ext xmlns:c16="http://schemas.microsoft.com/office/drawing/2014/chart" uri="{C3380CC4-5D6E-409C-BE32-E72D297353CC}">
                <c16:uniqueId val="{00000001-83FD-4A55-B87A-5FE984F2F0C4}"/>
              </c:ext>
            </c:extLst>
          </c:dPt>
          <c:dLbls>
            <c:dLbl>
              <c:idx val="0"/>
              <c:layout>
                <c:manualLayout>
                  <c:x val="0.20214753905267621"/>
                  <c:y val="-7.4687254172013936E-17"/>
                </c:manualLayout>
              </c:layout>
              <c:showLegendKey val="0"/>
              <c:showVal val="0"/>
              <c:showCatName val="0"/>
              <c:showSerName val="0"/>
              <c:showPercent val="0"/>
              <c:showBubbleSize val="0"/>
              <c:extLst>
                <c:ext xmlns:c15="http://schemas.microsoft.com/office/drawing/2012/chart" uri="{CE6537A1-D6FC-4f65-9D91-7224C49458BB}">
                  <c15:layout>
                    <c:manualLayout>
                      <c:w val="0.29356788814715074"/>
                      <c:h val="0.50039006764594174"/>
                    </c:manualLayout>
                  </c15:layout>
                  <c15:showDataLabelsRange val="1"/>
                </c:ext>
                <c:ext xmlns:c16="http://schemas.microsoft.com/office/drawing/2014/chart" uri="{C3380CC4-5D6E-409C-BE32-E72D297353CC}">
                  <c16:uniqueId val="{00000000-83FD-4A55-B87A-5FE984F2F0C4}"/>
                </c:ext>
              </c:extLst>
            </c:dLbl>
            <c:dLbl>
              <c:idx val="1"/>
              <c:layout>
                <c:manualLayout>
                  <c:x val="0.21844994189957809"/>
                  <c:y val="-3.1977848263685729E-2"/>
                </c:manualLayout>
              </c:layou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83FD-4A55-B87A-5FE984F2F0C4}"/>
                </c:ext>
              </c:extLst>
            </c:dLbl>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report'!$A$53:$A$55</c:f>
              <c:strCache>
                <c:ptCount val="2"/>
                <c:pt idx="0">
                  <c:v>Admitted</c:v>
                </c:pt>
                <c:pt idx="1">
                  <c:v>Not Admitted</c:v>
                </c:pt>
              </c:strCache>
            </c:strRef>
          </c:cat>
          <c:val>
            <c:numRef>
              <c:f>'pivot report'!$B$53:$B$55</c:f>
              <c:numCache>
                <c:formatCode>0.00</c:formatCode>
                <c:ptCount val="2"/>
                <c:pt idx="0">
                  <c:v>249</c:v>
                </c:pt>
                <c:pt idx="1">
                  <c:v>220</c:v>
                </c:pt>
              </c:numCache>
            </c:numRef>
          </c:val>
          <c:extLst>
            <c:ext xmlns:c16="http://schemas.microsoft.com/office/drawing/2014/chart" uri="{C3380CC4-5D6E-409C-BE32-E72D297353CC}">
              <c16:uniqueId val="{00000005-492E-4BFD-A6F3-C4D93A4A8D0D}"/>
            </c:ext>
          </c:extLst>
        </c:ser>
        <c:ser>
          <c:idx val="1"/>
          <c:order val="1"/>
          <c:tx>
            <c:strRef>
              <c:f>'pivot report'!$C$52</c:f>
              <c:strCache>
                <c:ptCount val="1"/>
                <c:pt idx="0">
                  <c:v>Count of Patient Admission Flag2</c:v>
                </c:pt>
              </c:strCache>
            </c:strRef>
          </c:tx>
          <c:spPr>
            <a:solidFill>
              <a:schemeClr val="accent2"/>
            </a:solidFill>
            <a:ln>
              <a:noFill/>
            </a:ln>
            <a:effectLst/>
          </c:spPr>
          <c:invertIfNegative val="0"/>
          <c:cat>
            <c:strRef>
              <c:f>'pivot report'!$A$53:$A$55</c:f>
              <c:strCache>
                <c:ptCount val="2"/>
                <c:pt idx="0">
                  <c:v>Admitted</c:v>
                </c:pt>
                <c:pt idx="1">
                  <c:v>Not Admitted</c:v>
                </c:pt>
              </c:strCache>
            </c:strRef>
          </c:cat>
          <c:val>
            <c:numRef>
              <c:f>'pivot report'!$C$53:$C$55</c:f>
              <c:numCache>
                <c:formatCode>0.00%</c:formatCode>
                <c:ptCount val="2"/>
                <c:pt idx="0">
                  <c:v>0.53091684434968012</c:v>
                </c:pt>
                <c:pt idx="1">
                  <c:v>0.46908315565031983</c:v>
                </c:pt>
              </c:numCache>
            </c:numRef>
          </c:val>
          <c:extLst>
            <c:ext xmlns:c16="http://schemas.microsoft.com/office/drawing/2014/chart" uri="{C3380CC4-5D6E-409C-BE32-E72D297353CC}">
              <c16:uniqueId val="{00000006-492E-4BFD-A6F3-C4D93A4A8D0D}"/>
            </c:ext>
          </c:extLst>
        </c:ser>
        <c:dLbls>
          <c:showLegendKey val="0"/>
          <c:showVal val="0"/>
          <c:showCatName val="0"/>
          <c:showSerName val="0"/>
          <c:showPercent val="0"/>
          <c:showBubbleSize val="0"/>
        </c:dLbls>
        <c:gapWidth val="0"/>
        <c:axId val="653817839"/>
        <c:axId val="496397711"/>
      </c:barChart>
      <c:catAx>
        <c:axId val="653817839"/>
        <c:scaling>
          <c:orientation val="minMax"/>
        </c:scaling>
        <c:delete val="1"/>
        <c:axPos val="l"/>
        <c:numFmt formatCode="General" sourceLinked="1"/>
        <c:majorTickMark val="none"/>
        <c:minorTickMark val="none"/>
        <c:tickLblPos val="nextTo"/>
        <c:crossAx val="496397711"/>
        <c:crosses val="autoZero"/>
        <c:auto val="1"/>
        <c:lblAlgn val="ctr"/>
        <c:lblOffset val="100"/>
        <c:noMultiLvlLbl val="0"/>
      </c:catAx>
      <c:valAx>
        <c:axId val="496397711"/>
        <c:scaling>
          <c:orientation val="minMax"/>
        </c:scaling>
        <c:delete val="1"/>
        <c:axPos val="b"/>
        <c:numFmt formatCode="0.00" sourceLinked="1"/>
        <c:majorTickMark val="none"/>
        <c:minorTickMark val="none"/>
        <c:tickLblPos val="nextTo"/>
        <c:crossAx val="65381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 saajan.xlsx]pivot report!PivotTable5</c:name>
    <c:fmtId val="7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4890514155933254E-3"/>
          <c:w val="1"/>
          <c:h val="0.99214937407171655"/>
        </c:manualLayout>
      </c:layout>
      <c:areaChart>
        <c:grouping val="standard"/>
        <c:varyColors val="0"/>
        <c:ser>
          <c:idx val="0"/>
          <c:order val="0"/>
          <c:tx>
            <c:strRef>
              <c:f>'pivot report'!$J$6</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report'!$I$7:$I$37</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report'!$J$7:$J$37</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2-CE3E-465F-9576-A73CF783E9E6}"/>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83903439"/>
        <c:axId val="998494448"/>
      </c:areaChart>
      <c:catAx>
        <c:axId val="58390343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998494448"/>
        <c:crosses val="autoZero"/>
        <c:auto val="1"/>
        <c:lblAlgn val="ctr"/>
        <c:lblOffset val="100"/>
        <c:noMultiLvlLbl val="0"/>
      </c:catAx>
      <c:valAx>
        <c:axId val="99849444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39034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 saajan.xlsx]pivot report!PivotTable4</c:name>
    <c:fmtId val="6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25E-2"/>
          <c:y val="6.9444444444444448E-2"/>
          <c:w val="0.88541666666666663"/>
          <c:h val="0.52214020122484694"/>
        </c:manualLayout>
      </c:layout>
      <c:areaChart>
        <c:grouping val="standard"/>
        <c:varyColors val="0"/>
        <c:ser>
          <c:idx val="0"/>
          <c:order val="0"/>
          <c:tx>
            <c:strRef>
              <c:f>'pivot report'!$D$6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report'!$C$7:$C$37</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report'!$D$7:$D$37</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2-E4B5-4046-B9AD-3CB54E321E7E}"/>
            </c:ext>
          </c:extLst>
        </c:ser>
        <c:dLbls>
          <c:showLegendKey val="0"/>
          <c:showVal val="1"/>
          <c:showCatName val="0"/>
          <c:showSerName val="0"/>
          <c:showPercent val="0"/>
          <c:showBubbleSize val="0"/>
        </c:dLbls>
        <c:axId val="1329034928"/>
        <c:axId val="1207691984"/>
      </c:areaChart>
      <c:catAx>
        <c:axId val="13290349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7691984"/>
        <c:crosses val="autoZero"/>
        <c:auto val="1"/>
        <c:lblAlgn val="ctr"/>
        <c:lblOffset val="100"/>
        <c:noMultiLvlLbl val="0"/>
      </c:catAx>
      <c:valAx>
        <c:axId val="1207691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034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 saajan.xlsx]pivot report!PivotTable4</c:name>
    <c:fmtId val="6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940766844235917E-3"/>
          <c:y val="0.1018440521212591"/>
          <c:w val="0.7444166428514154"/>
          <c:h val="0.76054557132264322"/>
        </c:manualLayout>
      </c:layout>
      <c:areaChart>
        <c:grouping val="standard"/>
        <c:varyColors val="0"/>
        <c:ser>
          <c:idx val="0"/>
          <c:order val="0"/>
          <c:tx>
            <c:strRef>
              <c:f>'pivot report'!$D$6</c:f>
              <c:strCache>
                <c:ptCount val="1"/>
                <c:pt idx="0">
                  <c:v>Total</c:v>
                </c:pt>
              </c:strCache>
            </c:strRef>
          </c:tx>
          <c:spPr>
            <a:solidFill>
              <a:schemeClr val="accent1"/>
            </a:solidFill>
            <a:ln w="25400">
              <a:noFill/>
            </a:ln>
            <a:effectLst/>
          </c:spPr>
          <c:cat>
            <c:strRef>
              <c:f>'pivot report'!$C$7:$C$37</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report'!$D$7:$D$37</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3-B9A5-4227-B35C-16A41547E366}"/>
            </c:ext>
          </c:extLst>
        </c:ser>
        <c:dLbls>
          <c:showLegendKey val="0"/>
          <c:showVal val="0"/>
          <c:showCatName val="0"/>
          <c:showSerName val="0"/>
          <c:showPercent val="0"/>
          <c:showBubbleSize val="0"/>
        </c:dLbls>
        <c:axId val="1329034928"/>
        <c:axId val="1207691984"/>
      </c:areaChart>
      <c:catAx>
        <c:axId val="1329034928"/>
        <c:scaling>
          <c:orientation val="minMax"/>
        </c:scaling>
        <c:delete val="1"/>
        <c:axPos val="b"/>
        <c:numFmt formatCode="General" sourceLinked="1"/>
        <c:majorTickMark val="out"/>
        <c:minorTickMark val="none"/>
        <c:tickLblPos val="nextTo"/>
        <c:crossAx val="1207691984"/>
        <c:crosses val="autoZero"/>
        <c:auto val="1"/>
        <c:lblAlgn val="ctr"/>
        <c:lblOffset val="100"/>
        <c:noMultiLvlLbl val="0"/>
      </c:catAx>
      <c:valAx>
        <c:axId val="1207691984"/>
        <c:scaling>
          <c:orientation val="minMax"/>
        </c:scaling>
        <c:delete val="1"/>
        <c:axPos val="l"/>
        <c:numFmt formatCode="General" sourceLinked="1"/>
        <c:majorTickMark val="none"/>
        <c:minorTickMark val="none"/>
        <c:tickLblPos val="nextTo"/>
        <c:crossAx val="1329034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 saajan.xlsx]pivot report!PivotTable5</c:name>
    <c:fmtId val="7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4890514155933254E-3"/>
          <c:w val="1"/>
          <c:h val="0.99214937407171655"/>
        </c:manualLayout>
      </c:layout>
      <c:areaChart>
        <c:grouping val="standard"/>
        <c:varyColors val="0"/>
        <c:ser>
          <c:idx val="0"/>
          <c:order val="0"/>
          <c:tx>
            <c:strRef>
              <c:f>'pivot report'!$J$6</c:f>
              <c:strCache>
                <c:ptCount val="1"/>
                <c:pt idx="0">
                  <c:v>Total</c:v>
                </c:pt>
              </c:strCache>
            </c:strRef>
          </c:tx>
          <c:spPr>
            <a:solidFill>
              <a:schemeClr val="accent1"/>
            </a:solidFill>
            <a:ln w="25400">
              <a:noFill/>
            </a:ln>
            <a:effectLst/>
          </c:spPr>
          <c:cat>
            <c:strRef>
              <c:f>'pivot report'!$I$7:$I$37</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report'!$J$7:$J$37</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3-EBE7-4A1F-A083-9822E63D0548}"/>
            </c:ext>
          </c:extLst>
        </c:ser>
        <c:dLbls>
          <c:showLegendKey val="0"/>
          <c:showVal val="0"/>
          <c:showCatName val="0"/>
          <c:showSerName val="0"/>
          <c:showPercent val="0"/>
          <c:showBubbleSize val="0"/>
        </c:dLbls>
        <c:axId val="583903439"/>
        <c:axId val="998494448"/>
      </c:areaChart>
      <c:catAx>
        <c:axId val="583903439"/>
        <c:scaling>
          <c:orientation val="minMax"/>
        </c:scaling>
        <c:delete val="1"/>
        <c:axPos val="b"/>
        <c:numFmt formatCode="General" sourceLinked="1"/>
        <c:majorTickMark val="out"/>
        <c:minorTickMark val="none"/>
        <c:tickLblPos val="nextTo"/>
        <c:crossAx val="998494448"/>
        <c:crosses val="autoZero"/>
        <c:auto val="1"/>
        <c:lblAlgn val="ctr"/>
        <c:lblOffset val="100"/>
        <c:noMultiLvlLbl val="0"/>
      </c:catAx>
      <c:valAx>
        <c:axId val="998494448"/>
        <c:scaling>
          <c:orientation val="minMax"/>
        </c:scaling>
        <c:delete val="1"/>
        <c:axPos val="l"/>
        <c:numFmt formatCode="0.00" sourceLinked="1"/>
        <c:majorTickMark val="none"/>
        <c:minorTickMark val="none"/>
        <c:tickLblPos val="nextTo"/>
        <c:crossAx val="5839034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 saajan.xlsx]pivot report!PivotTable6</c:name>
    <c:fmtId val="8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05171412821417E-3"/>
          <c:y val="6.8116054739563364E-2"/>
          <c:w val="0.99403174594223342"/>
          <c:h val="0.92182301345813744"/>
        </c:manualLayout>
      </c:layout>
      <c:areaChart>
        <c:grouping val="standard"/>
        <c:varyColors val="0"/>
        <c:ser>
          <c:idx val="0"/>
          <c:order val="0"/>
          <c:tx>
            <c:strRef>
              <c:f>'pivot report'!$P$6</c:f>
              <c:strCache>
                <c:ptCount val="1"/>
                <c:pt idx="0">
                  <c:v>Total</c:v>
                </c:pt>
              </c:strCache>
            </c:strRef>
          </c:tx>
          <c:spPr>
            <a:solidFill>
              <a:schemeClr val="accent1"/>
            </a:solidFill>
            <a:ln w="25400">
              <a:noFill/>
            </a:ln>
            <a:effectLst/>
          </c:spPr>
          <c:cat>
            <c:strRef>
              <c:f>'pivot report'!$O$7:$O$37</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report'!$P$7:$P$37</c:f>
              <c:numCache>
                <c:formatCode>0.00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3-F04D-4472-9750-B04E743CD762}"/>
            </c:ext>
          </c:extLst>
        </c:ser>
        <c:dLbls>
          <c:showLegendKey val="0"/>
          <c:showVal val="0"/>
          <c:showCatName val="0"/>
          <c:showSerName val="0"/>
          <c:showPercent val="0"/>
          <c:showBubbleSize val="0"/>
        </c:dLbls>
        <c:axId val="583712271"/>
        <c:axId val="1207690544"/>
      </c:areaChart>
      <c:catAx>
        <c:axId val="583712271"/>
        <c:scaling>
          <c:orientation val="minMax"/>
        </c:scaling>
        <c:delete val="1"/>
        <c:axPos val="b"/>
        <c:numFmt formatCode="General" sourceLinked="1"/>
        <c:majorTickMark val="out"/>
        <c:minorTickMark val="none"/>
        <c:tickLblPos val="nextTo"/>
        <c:crossAx val="1207690544"/>
        <c:crosses val="autoZero"/>
        <c:auto val="1"/>
        <c:lblAlgn val="ctr"/>
        <c:lblOffset val="100"/>
        <c:noMultiLvlLbl val="0"/>
      </c:catAx>
      <c:valAx>
        <c:axId val="1207690544"/>
        <c:scaling>
          <c:orientation val="minMax"/>
        </c:scaling>
        <c:delete val="1"/>
        <c:axPos val="l"/>
        <c:numFmt formatCode="0.00" sourceLinked="1"/>
        <c:majorTickMark val="none"/>
        <c:minorTickMark val="none"/>
        <c:tickLblPos val="nextTo"/>
        <c:crossAx val="5837122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 saajan.xlsx]pivot report!PivotTable8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802651779691431E-2"/>
          <c:y val="0.14092358581041631"/>
          <c:w val="0.95839469644061714"/>
          <c:h val="0.44168579905575378"/>
        </c:manualLayout>
      </c:layout>
      <c:barChart>
        <c:barDir val="col"/>
        <c:grouping val="clustered"/>
        <c:varyColors val="0"/>
        <c:ser>
          <c:idx val="0"/>
          <c:order val="0"/>
          <c:tx>
            <c:strRef>
              <c:f>'pivot report'!$B$58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report'!$A$59:$A$67</c:f>
              <c:strCache>
                <c:ptCount val="8"/>
                <c:pt idx="0">
                  <c:v>00-09</c:v>
                </c:pt>
                <c:pt idx="1">
                  <c:v>10-19</c:v>
                </c:pt>
                <c:pt idx="2">
                  <c:v>20-29</c:v>
                </c:pt>
                <c:pt idx="3">
                  <c:v>30-39</c:v>
                </c:pt>
                <c:pt idx="4">
                  <c:v>40-49</c:v>
                </c:pt>
                <c:pt idx="5">
                  <c:v>50-59</c:v>
                </c:pt>
                <c:pt idx="6">
                  <c:v>60-69</c:v>
                </c:pt>
                <c:pt idx="7">
                  <c:v>70-79</c:v>
                </c:pt>
              </c:strCache>
            </c:strRef>
          </c:cat>
          <c:val>
            <c:numRef>
              <c:f>'pivot report'!$B$59:$B$67</c:f>
              <c:numCache>
                <c:formatCode>0.00</c:formatCode>
                <c:ptCount val="8"/>
                <c:pt idx="0">
                  <c:v>61</c:v>
                </c:pt>
                <c:pt idx="1">
                  <c:v>56</c:v>
                </c:pt>
                <c:pt idx="2">
                  <c:v>58</c:v>
                </c:pt>
                <c:pt idx="3">
                  <c:v>56</c:v>
                </c:pt>
                <c:pt idx="4">
                  <c:v>66</c:v>
                </c:pt>
                <c:pt idx="5">
                  <c:v>62</c:v>
                </c:pt>
                <c:pt idx="6">
                  <c:v>58</c:v>
                </c:pt>
                <c:pt idx="7">
                  <c:v>52</c:v>
                </c:pt>
              </c:numCache>
            </c:numRef>
          </c:val>
          <c:extLst>
            <c:ext xmlns:c16="http://schemas.microsoft.com/office/drawing/2014/chart" uri="{C3380CC4-5D6E-409C-BE32-E72D297353CC}">
              <c16:uniqueId val="{00000003-A861-495A-A4A0-965DC199E11C}"/>
            </c:ext>
          </c:extLst>
        </c:ser>
        <c:dLbls>
          <c:showLegendKey val="0"/>
          <c:showVal val="0"/>
          <c:showCatName val="0"/>
          <c:showSerName val="0"/>
          <c:showPercent val="0"/>
          <c:showBubbleSize val="0"/>
        </c:dLbls>
        <c:gapWidth val="219"/>
        <c:overlap val="-27"/>
        <c:axId val="858150063"/>
        <c:axId val="860582895"/>
      </c:barChart>
      <c:catAx>
        <c:axId val="85815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582895"/>
        <c:crosses val="autoZero"/>
        <c:auto val="1"/>
        <c:lblAlgn val="ctr"/>
        <c:lblOffset val="100"/>
        <c:noMultiLvlLbl val="0"/>
      </c:catAx>
      <c:valAx>
        <c:axId val="860582895"/>
        <c:scaling>
          <c:orientation val="minMax"/>
        </c:scaling>
        <c:delete val="1"/>
        <c:axPos val="l"/>
        <c:numFmt formatCode="0.00" sourceLinked="1"/>
        <c:majorTickMark val="none"/>
        <c:minorTickMark val="none"/>
        <c:tickLblPos val="nextTo"/>
        <c:crossAx val="85815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 saajan.xlsx]pivot report!PivotTable9</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report'!$B$70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E2F-4097-B6B4-BC4E58DCFE4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E2F-4097-B6B4-BC4E58DCFE4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report'!$A$71:$A$73</c:f>
              <c:strCache>
                <c:ptCount val="2"/>
                <c:pt idx="0">
                  <c:v>Delay</c:v>
                </c:pt>
                <c:pt idx="1">
                  <c:v>Ontime</c:v>
                </c:pt>
              </c:strCache>
            </c:strRef>
          </c:cat>
          <c:val>
            <c:numRef>
              <c:f>'pivot report'!$B$71:$B$73</c:f>
              <c:numCache>
                <c:formatCode>0</c:formatCode>
                <c:ptCount val="2"/>
                <c:pt idx="0">
                  <c:v>257</c:v>
                </c:pt>
                <c:pt idx="1">
                  <c:v>212</c:v>
                </c:pt>
              </c:numCache>
            </c:numRef>
          </c:val>
          <c:extLst>
            <c:ext xmlns:c16="http://schemas.microsoft.com/office/drawing/2014/chart" uri="{C3380CC4-5D6E-409C-BE32-E72D297353CC}">
              <c16:uniqueId val="{00000007-547F-41DF-8765-01D36706577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094352010705404"/>
          <c:y val="0.72914233106971049"/>
          <c:w val="0.26844534818256593"/>
          <c:h val="0.205699905075167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 saajan.xlsx]pivot report!PivotTable10</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2226468334322966E-2"/>
          <c:y val="0.24859614707886285"/>
          <c:w val="0.74511045812335375"/>
          <c:h val="0.68704000419284073"/>
        </c:manualLayout>
      </c:layout>
      <c:doughnutChart>
        <c:varyColors val="1"/>
        <c:ser>
          <c:idx val="0"/>
          <c:order val="0"/>
          <c:tx>
            <c:strRef>
              <c:f>'pivot report'!$B$77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797-4486-B716-F5D80CCF8AD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797-4486-B716-F5D80CCF8AD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report'!$A$78:$A$80</c:f>
              <c:strCache>
                <c:ptCount val="2"/>
                <c:pt idx="0">
                  <c:v>Female</c:v>
                </c:pt>
                <c:pt idx="1">
                  <c:v>Male</c:v>
                </c:pt>
              </c:strCache>
            </c:strRef>
          </c:cat>
          <c:val>
            <c:numRef>
              <c:f>'pivot report'!$B$78:$B$80</c:f>
              <c:numCache>
                <c:formatCode>0.00</c:formatCode>
                <c:ptCount val="2"/>
                <c:pt idx="0">
                  <c:v>219</c:v>
                </c:pt>
                <c:pt idx="1">
                  <c:v>250</c:v>
                </c:pt>
              </c:numCache>
            </c:numRef>
          </c:val>
          <c:extLst>
            <c:ext xmlns:c16="http://schemas.microsoft.com/office/drawing/2014/chart" uri="{C3380CC4-5D6E-409C-BE32-E72D297353CC}">
              <c16:uniqueId val="{00000007-C5B9-4DB0-84A4-E5DE4057810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3280755977121747"/>
          <c:y val="1.9361003586376272E-2"/>
          <c:w val="0.25075433924893703"/>
          <c:h val="0.2404214897866805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 saajan.xlsx]pivot report!PivotTable11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report'!$A$85:$A$93</c:f>
              <c:strCache>
                <c:ptCount val="8"/>
                <c:pt idx="0">
                  <c:v>None</c:v>
                </c:pt>
                <c:pt idx="1">
                  <c:v>General Practice</c:v>
                </c:pt>
                <c:pt idx="2">
                  <c:v>Orthopedics</c:v>
                </c:pt>
                <c:pt idx="3">
                  <c:v>Physiotherapy</c:v>
                </c:pt>
                <c:pt idx="4">
                  <c:v>Cardiology</c:v>
                </c:pt>
                <c:pt idx="5">
                  <c:v>Gastroenterology</c:v>
                </c:pt>
                <c:pt idx="6">
                  <c:v>Neurology</c:v>
                </c:pt>
                <c:pt idx="7">
                  <c:v>Renal</c:v>
                </c:pt>
              </c:strCache>
            </c:strRef>
          </c:cat>
          <c:val>
            <c:numRef>
              <c:f>'pivot report'!$B$85:$B$93</c:f>
              <c:numCache>
                <c:formatCode>0</c:formatCode>
                <c:ptCount val="8"/>
                <c:pt idx="0">
                  <c:v>260</c:v>
                </c:pt>
                <c:pt idx="1">
                  <c:v>107</c:v>
                </c:pt>
                <c:pt idx="2">
                  <c:v>48</c:v>
                </c:pt>
                <c:pt idx="3">
                  <c:v>17</c:v>
                </c:pt>
                <c:pt idx="4">
                  <c:v>13</c:v>
                </c:pt>
                <c:pt idx="5">
                  <c:v>11</c:v>
                </c:pt>
                <c:pt idx="6">
                  <c:v>7</c:v>
                </c:pt>
                <c:pt idx="7">
                  <c:v>6</c:v>
                </c:pt>
              </c:numCache>
            </c:numRef>
          </c:val>
          <c:extLst>
            <c:ext xmlns:c16="http://schemas.microsoft.com/office/drawing/2014/chart" uri="{C3380CC4-5D6E-409C-BE32-E72D297353CC}">
              <c16:uniqueId val="{00000003-D260-425D-AD94-4A0A9F41AC11}"/>
            </c:ext>
          </c:extLst>
        </c:ser>
        <c:dLbls>
          <c:showLegendKey val="0"/>
          <c:showVal val="0"/>
          <c:showCatName val="0"/>
          <c:showSerName val="0"/>
          <c:showPercent val="0"/>
          <c:showBubbleSize val="0"/>
        </c:dLbls>
        <c:gapWidth val="72"/>
        <c:axId val="858176511"/>
        <c:axId val="860612175"/>
      </c:barChart>
      <c:catAx>
        <c:axId val="85817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612175"/>
        <c:crosses val="autoZero"/>
        <c:auto val="1"/>
        <c:lblAlgn val="ctr"/>
        <c:lblOffset val="100"/>
        <c:noMultiLvlLbl val="0"/>
      </c:catAx>
      <c:valAx>
        <c:axId val="86061217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7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 saajan.xlsx]pivot report!PivotTable6</c:name>
    <c:fmtId val="8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report'!$P$6</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report'!$O$7:$O$37</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report'!$P$7:$P$37</c:f>
              <c:numCache>
                <c:formatCode>0.00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2-7EE9-4B50-AA69-33A33D3FE3EC}"/>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83712271"/>
        <c:axId val="1207690544"/>
      </c:areaChart>
      <c:catAx>
        <c:axId val="58371227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207690544"/>
        <c:crosses val="autoZero"/>
        <c:auto val="1"/>
        <c:lblAlgn val="ctr"/>
        <c:lblOffset val="100"/>
        <c:noMultiLvlLbl val="0"/>
      </c:catAx>
      <c:valAx>
        <c:axId val="12076905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37122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3.xml"/><Relationship Id="rId4" Type="http://schemas.openxmlformats.org/officeDocument/2006/relationships/image" Target="../media/image3.svg"/></Relationships>
</file>

<file path=xl/drawings/_rels/drawing4.xml.rels><?xml version="1.0" encoding="UTF-8" standalone="yes"?>
<Relationships xmlns="http://schemas.openxmlformats.org/package/2006/relationships"><Relationship Id="rId8" Type="http://schemas.openxmlformats.org/officeDocument/2006/relationships/hyperlink" Target="#'Daily ER No.of patient'!A1"/><Relationship Id="rId13" Type="http://schemas.openxmlformats.org/officeDocument/2006/relationships/chart" Target="../charts/chart6.xml"/><Relationship Id="rId18" Type="http://schemas.openxmlformats.org/officeDocument/2006/relationships/chart" Target="../charts/chart10.xml"/><Relationship Id="rId3" Type="http://schemas.openxmlformats.org/officeDocument/2006/relationships/image" Target="../media/image6.svg"/><Relationship Id="rId7" Type="http://schemas.openxmlformats.org/officeDocument/2006/relationships/image" Target="../media/image10.svg"/><Relationship Id="rId12" Type="http://schemas.openxmlformats.org/officeDocument/2006/relationships/hyperlink" Target="#'satisfaction score daily trend'!A1"/><Relationship Id="rId17" Type="http://schemas.openxmlformats.org/officeDocument/2006/relationships/chart" Target="../charts/chart9.xml"/><Relationship Id="rId2" Type="http://schemas.openxmlformats.org/officeDocument/2006/relationships/image" Target="../media/image5.png"/><Relationship Id="rId16" Type="http://schemas.openxmlformats.org/officeDocument/2006/relationships/chart" Target="../charts/chart8.xml"/><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chart" Target="../charts/chart5.xml"/><Relationship Id="rId5" Type="http://schemas.openxmlformats.org/officeDocument/2006/relationships/image" Target="../media/image8.svg"/><Relationship Id="rId15" Type="http://schemas.openxmlformats.org/officeDocument/2006/relationships/chart" Target="../charts/chart7.xml"/><Relationship Id="rId10" Type="http://schemas.openxmlformats.org/officeDocument/2006/relationships/hyperlink" Target="#'Average wait time daily trend'!A1"/><Relationship Id="rId4" Type="http://schemas.openxmlformats.org/officeDocument/2006/relationships/image" Target="../media/image7.png"/><Relationship Id="rId9" Type="http://schemas.openxmlformats.org/officeDocument/2006/relationships/chart" Target="../charts/chart4.xml"/><Relationship Id="rId14" Type="http://schemas.openxmlformats.org/officeDocument/2006/relationships/image" Target="../media/image11.emf"/></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3</xdr:col>
      <xdr:colOff>224764</xdr:colOff>
      <xdr:row>45</xdr:row>
      <xdr:rowOff>182671</xdr:rowOff>
    </xdr:from>
    <xdr:to>
      <xdr:col>3</xdr:col>
      <xdr:colOff>1644042</xdr:colOff>
      <xdr:row>48</xdr:row>
      <xdr:rowOff>4676</xdr:rowOff>
    </xdr:to>
    <xdr:graphicFrame macro="">
      <xdr:nvGraphicFramePr>
        <xdr:cNvPr id="2" name="Chart 1">
          <a:extLst>
            <a:ext uri="{FF2B5EF4-FFF2-40B4-BE49-F238E27FC236}">
              <a16:creationId xmlns:a16="http://schemas.microsoft.com/office/drawing/2014/main" id="{A132DB56-8A2E-B8B9-725D-1656748D8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0</xdr:colOff>
      <xdr:row>26</xdr:row>
      <xdr:rowOff>0</xdr:rowOff>
    </xdr:to>
    <xdr:graphicFrame macro="">
      <xdr:nvGraphicFramePr>
        <xdr:cNvPr id="3" name="Chart 2">
          <a:extLst>
            <a:ext uri="{FF2B5EF4-FFF2-40B4-BE49-F238E27FC236}">
              <a16:creationId xmlns:a16="http://schemas.microsoft.com/office/drawing/2014/main" id="{9E2AA6F6-3399-4FB2-8E66-4285425B7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449580</xdr:colOff>
      <xdr:row>0</xdr:row>
      <xdr:rowOff>45720</xdr:rowOff>
    </xdr:from>
    <xdr:to>
      <xdr:col>22</xdr:col>
      <xdr:colOff>388620</xdr:colOff>
      <xdr:row>3</xdr:row>
      <xdr:rowOff>45720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7A16F4C1-D7DC-40D8-8DB1-8A01B564FC2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251180" y="45720"/>
          <a:ext cx="548640" cy="5486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0</xdr:colOff>
      <xdr:row>23</xdr:row>
      <xdr:rowOff>0</xdr:rowOff>
    </xdr:to>
    <xdr:graphicFrame macro="">
      <xdr:nvGraphicFramePr>
        <xdr:cNvPr id="4" name="Chart 3">
          <a:extLst>
            <a:ext uri="{FF2B5EF4-FFF2-40B4-BE49-F238E27FC236}">
              <a16:creationId xmlns:a16="http://schemas.microsoft.com/office/drawing/2014/main" id="{42615469-E755-44DA-9185-39C5D1988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60960</xdr:colOff>
      <xdr:row>0</xdr:row>
      <xdr:rowOff>15240</xdr:rowOff>
    </xdr:from>
    <xdr:to>
      <xdr:col>18</xdr:col>
      <xdr:colOff>0</xdr:colOff>
      <xdr:row>3</xdr:row>
      <xdr:rowOff>15240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6A7D5B95-EECB-1505-D039-8D3BC72ECCE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424160" y="15240"/>
          <a:ext cx="548640" cy="5486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144780</xdr:colOff>
      <xdr:row>1</xdr:row>
      <xdr:rowOff>38100</xdr:rowOff>
    </xdr:from>
    <xdr:to>
      <xdr:col>9</xdr:col>
      <xdr:colOff>426720</xdr:colOff>
      <xdr:row>6</xdr:row>
      <xdr:rowOff>60960</xdr:rowOff>
    </xdr:to>
    <xdr:sp macro="" textlink="">
      <xdr:nvSpPr>
        <xdr:cNvPr id="2" name="Rectangle: Rounded Corners 1">
          <a:extLst>
            <a:ext uri="{FF2B5EF4-FFF2-40B4-BE49-F238E27FC236}">
              <a16:creationId xmlns:a16="http://schemas.microsoft.com/office/drawing/2014/main" id="{B959EAFE-1AC0-31D7-8F61-835102300F4C}"/>
            </a:ext>
          </a:extLst>
        </xdr:cNvPr>
        <xdr:cNvSpPr/>
      </xdr:nvSpPr>
      <xdr:spPr>
        <a:xfrm>
          <a:off x="144780" y="220980"/>
          <a:ext cx="5768340" cy="937260"/>
        </a:xfrm>
        <a:prstGeom prst="roundRect">
          <a:avLst>
            <a:gd name="adj" fmla="val 182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470435</xdr:colOff>
      <xdr:row>1</xdr:row>
      <xdr:rowOff>77804</xdr:rowOff>
    </xdr:from>
    <xdr:to>
      <xdr:col>14</xdr:col>
      <xdr:colOff>393812</xdr:colOff>
      <xdr:row>6</xdr:row>
      <xdr:rowOff>100664</xdr:rowOff>
    </xdr:to>
    <xdr:sp macro="" textlink="">
      <xdr:nvSpPr>
        <xdr:cNvPr id="3" name="Rectangle: Rounded Corners 2">
          <a:extLst>
            <a:ext uri="{FF2B5EF4-FFF2-40B4-BE49-F238E27FC236}">
              <a16:creationId xmlns:a16="http://schemas.microsoft.com/office/drawing/2014/main" id="{001120C6-FBDC-691D-6FD9-D0A4AD178545}"/>
            </a:ext>
          </a:extLst>
        </xdr:cNvPr>
        <xdr:cNvSpPr/>
      </xdr:nvSpPr>
      <xdr:spPr>
        <a:xfrm>
          <a:off x="5956835" y="262288"/>
          <a:ext cx="2995440" cy="945281"/>
        </a:xfrm>
        <a:prstGeom prst="roundRect">
          <a:avLst>
            <a:gd name="adj" fmla="val 1260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15</xdr:col>
      <xdr:colOff>394970</xdr:colOff>
      <xdr:row>0</xdr:row>
      <xdr:rowOff>23707</xdr:rowOff>
    </xdr:from>
    <xdr:to>
      <xdr:col>19</xdr:col>
      <xdr:colOff>116417</xdr:colOff>
      <xdr:row>11</xdr:row>
      <xdr:rowOff>211044</xdr:rowOff>
    </xdr:to>
    <xdr:sp macro="" textlink="">
      <xdr:nvSpPr>
        <xdr:cNvPr id="4" name="Rectangle: Rounded Corners 3">
          <a:extLst>
            <a:ext uri="{FF2B5EF4-FFF2-40B4-BE49-F238E27FC236}">
              <a16:creationId xmlns:a16="http://schemas.microsoft.com/office/drawing/2014/main" id="{67EC6508-6144-0B2A-1C37-9CC780660152}"/>
            </a:ext>
          </a:extLst>
        </xdr:cNvPr>
        <xdr:cNvSpPr/>
      </xdr:nvSpPr>
      <xdr:spPr>
        <a:xfrm>
          <a:off x="9623637" y="23707"/>
          <a:ext cx="2176780" cy="2166620"/>
        </a:xfrm>
        <a:prstGeom prst="roundRect">
          <a:avLst>
            <a:gd name="adj" fmla="val 1175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19</xdr:col>
      <xdr:colOff>371686</xdr:colOff>
      <xdr:row>0</xdr:row>
      <xdr:rowOff>24977</xdr:rowOff>
    </xdr:from>
    <xdr:to>
      <xdr:col>23</xdr:col>
      <xdr:colOff>93133</xdr:colOff>
      <xdr:row>11</xdr:row>
      <xdr:rowOff>212314</xdr:rowOff>
    </xdr:to>
    <xdr:sp macro="" textlink="">
      <xdr:nvSpPr>
        <xdr:cNvPr id="5" name="Rectangle: Rounded Corners 4">
          <a:extLst>
            <a:ext uri="{FF2B5EF4-FFF2-40B4-BE49-F238E27FC236}">
              <a16:creationId xmlns:a16="http://schemas.microsoft.com/office/drawing/2014/main" id="{EB0632FD-AF41-4FBA-41F4-081158BD58C5}"/>
            </a:ext>
          </a:extLst>
        </xdr:cNvPr>
        <xdr:cNvSpPr/>
      </xdr:nvSpPr>
      <xdr:spPr>
        <a:xfrm>
          <a:off x="12055686" y="24977"/>
          <a:ext cx="2176780" cy="2166620"/>
        </a:xfrm>
        <a:prstGeom prst="roundRect">
          <a:avLst>
            <a:gd name="adj" fmla="val 96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175259</xdr:colOff>
      <xdr:row>6</xdr:row>
      <xdr:rowOff>160019</xdr:rowOff>
    </xdr:from>
    <xdr:to>
      <xdr:col>1</xdr:col>
      <xdr:colOff>503280</xdr:colOff>
      <xdr:row>27</xdr:row>
      <xdr:rowOff>143773</xdr:rowOff>
    </xdr:to>
    <xdr:sp macro="" textlink="">
      <xdr:nvSpPr>
        <xdr:cNvPr id="6" name="Rectangle: Rounded Corners 5">
          <a:extLst>
            <a:ext uri="{FF2B5EF4-FFF2-40B4-BE49-F238E27FC236}">
              <a16:creationId xmlns:a16="http://schemas.microsoft.com/office/drawing/2014/main" id="{427DD100-80C9-4430-FD2F-FA78450A9936}"/>
            </a:ext>
          </a:extLst>
        </xdr:cNvPr>
        <xdr:cNvSpPr/>
      </xdr:nvSpPr>
      <xdr:spPr>
        <a:xfrm>
          <a:off x="175259" y="1278700"/>
          <a:ext cx="936000" cy="4128257"/>
        </a:xfrm>
        <a:prstGeom prst="roundRect">
          <a:avLst>
            <a:gd name="adj" fmla="val 2524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36000" rtlCol="0" anchor="t"/>
        <a:lstStyle/>
        <a:p>
          <a:pPr algn="l"/>
          <a:endParaRPr lang="en-US" sz="1100"/>
        </a:p>
      </xdr:txBody>
    </xdr:sp>
    <xdr:clientData/>
  </xdr:twoCellAnchor>
  <xdr:twoCellAnchor editAs="absolute">
    <xdr:from>
      <xdr:col>2</xdr:col>
      <xdr:colOff>181610</xdr:colOff>
      <xdr:row>7</xdr:row>
      <xdr:rowOff>84223</xdr:rowOff>
    </xdr:from>
    <xdr:to>
      <xdr:col>5</xdr:col>
      <xdr:colOff>444924</xdr:colOff>
      <xdr:row>13</xdr:row>
      <xdr:rowOff>118595</xdr:rowOff>
    </xdr:to>
    <xdr:sp macro="" textlink="">
      <xdr:nvSpPr>
        <xdr:cNvPr id="8" name="Rectangle: Rounded Corners 7">
          <a:extLst>
            <a:ext uri="{FF2B5EF4-FFF2-40B4-BE49-F238E27FC236}">
              <a16:creationId xmlns:a16="http://schemas.microsoft.com/office/drawing/2014/main" id="{9B20B30B-B148-872A-26A0-C8837FC149EE}"/>
            </a:ext>
          </a:extLst>
        </xdr:cNvPr>
        <xdr:cNvSpPr/>
      </xdr:nvSpPr>
      <xdr:spPr>
        <a:xfrm>
          <a:off x="1397567" y="1389351"/>
          <a:ext cx="2087251" cy="1375442"/>
        </a:xfrm>
        <a:prstGeom prst="roundRect">
          <a:avLst>
            <a:gd name="adj" fmla="val 57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0</xdr:colOff>
      <xdr:row>7</xdr:row>
      <xdr:rowOff>102627</xdr:rowOff>
    </xdr:from>
    <xdr:to>
      <xdr:col>9</xdr:col>
      <xdr:colOff>544478</xdr:colOff>
      <xdr:row>13</xdr:row>
      <xdr:rowOff>143774</xdr:rowOff>
    </xdr:to>
    <xdr:sp macro="" textlink="">
      <xdr:nvSpPr>
        <xdr:cNvPr id="9" name="Rectangle: Rounded Corners 8">
          <a:extLst>
            <a:ext uri="{FF2B5EF4-FFF2-40B4-BE49-F238E27FC236}">
              <a16:creationId xmlns:a16="http://schemas.microsoft.com/office/drawing/2014/main" id="{B3CEA051-3078-8C4C-9C46-284BF4C4CCDC}"/>
            </a:ext>
          </a:extLst>
        </xdr:cNvPr>
        <xdr:cNvSpPr/>
      </xdr:nvSpPr>
      <xdr:spPr>
        <a:xfrm>
          <a:off x="3647872" y="1407755"/>
          <a:ext cx="2368415" cy="1388947"/>
        </a:xfrm>
        <a:prstGeom prst="roundRect">
          <a:avLst>
            <a:gd name="adj" fmla="val 1036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0</xdr:colOff>
      <xdr:row>7</xdr:row>
      <xdr:rowOff>102627</xdr:rowOff>
    </xdr:from>
    <xdr:to>
      <xdr:col>14</xdr:col>
      <xdr:colOff>430530</xdr:colOff>
      <xdr:row>13</xdr:row>
      <xdr:rowOff>143774</xdr:rowOff>
    </xdr:to>
    <xdr:sp macro="" textlink="">
      <xdr:nvSpPr>
        <xdr:cNvPr id="10" name="Rectangle: Rounded Corners 9">
          <a:extLst>
            <a:ext uri="{FF2B5EF4-FFF2-40B4-BE49-F238E27FC236}">
              <a16:creationId xmlns:a16="http://schemas.microsoft.com/office/drawing/2014/main" id="{7B16B67F-EF77-B03D-E9B0-F4E5EADF7F98}"/>
            </a:ext>
          </a:extLst>
        </xdr:cNvPr>
        <xdr:cNvSpPr/>
      </xdr:nvSpPr>
      <xdr:spPr>
        <a:xfrm>
          <a:off x="6079787" y="1407755"/>
          <a:ext cx="2886764" cy="1388947"/>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586740</xdr:colOff>
      <xdr:row>19</xdr:row>
      <xdr:rowOff>47878</xdr:rowOff>
    </xdr:from>
    <xdr:to>
      <xdr:col>13</xdr:col>
      <xdr:colOff>15240</xdr:colOff>
      <xdr:row>27</xdr:row>
      <xdr:rowOff>144642</xdr:rowOff>
    </xdr:to>
    <xdr:sp macro="" textlink="">
      <xdr:nvSpPr>
        <xdr:cNvPr id="12" name="Rectangle: Rounded Corners 11">
          <a:extLst>
            <a:ext uri="{FF2B5EF4-FFF2-40B4-BE49-F238E27FC236}">
              <a16:creationId xmlns:a16="http://schemas.microsoft.com/office/drawing/2014/main" id="{7FBC975D-AAA8-7E54-59F1-B9088627E10B}"/>
            </a:ext>
          </a:extLst>
        </xdr:cNvPr>
        <xdr:cNvSpPr/>
      </xdr:nvSpPr>
      <xdr:spPr>
        <a:xfrm>
          <a:off x="1196340" y="3741421"/>
          <a:ext cx="6766560" cy="1562968"/>
        </a:xfrm>
        <a:prstGeom prst="roundRect">
          <a:avLst>
            <a:gd name="adj" fmla="val 416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594360</xdr:colOff>
      <xdr:row>14</xdr:row>
      <xdr:rowOff>32637</xdr:rowOff>
    </xdr:from>
    <xdr:to>
      <xdr:col>13</xdr:col>
      <xdr:colOff>15240</xdr:colOff>
      <xdr:row>18</xdr:row>
      <xdr:rowOff>108837</xdr:rowOff>
    </xdr:to>
    <xdr:sp macro="" textlink="">
      <xdr:nvSpPr>
        <xdr:cNvPr id="13" name="Rectangle: Rounded Corners 12">
          <a:extLst>
            <a:ext uri="{FF2B5EF4-FFF2-40B4-BE49-F238E27FC236}">
              <a16:creationId xmlns:a16="http://schemas.microsoft.com/office/drawing/2014/main" id="{9608FD81-C52D-32F8-0148-308E5DB0149E}"/>
            </a:ext>
          </a:extLst>
        </xdr:cNvPr>
        <xdr:cNvSpPr/>
      </xdr:nvSpPr>
      <xdr:spPr>
        <a:xfrm>
          <a:off x="1203960" y="2811780"/>
          <a:ext cx="6758940" cy="807720"/>
        </a:xfrm>
        <a:prstGeom prst="roundRect">
          <a:avLst>
            <a:gd name="adj" fmla="val 1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228600</xdr:colOff>
      <xdr:row>29</xdr:row>
      <xdr:rowOff>0</xdr:rowOff>
    </xdr:from>
    <xdr:to>
      <xdr:col>26</xdr:col>
      <xdr:colOff>0</xdr:colOff>
      <xdr:row>29</xdr:row>
      <xdr:rowOff>45720</xdr:rowOff>
    </xdr:to>
    <xdr:cxnSp macro="">
      <xdr:nvCxnSpPr>
        <xdr:cNvPr id="15" name="Straight Connector 14">
          <a:extLst>
            <a:ext uri="{FF2B5EF4-FFF2-40B4-BE49-F238E27FC236}">
              <a16:creationId xmlns:a16="http://schemas.microsoft.com/office/drawing/2014/main" id="{ADF85AD5-077A-EFE9-3F16-A25C1DC31068}"/>
            </a:ext>
          </a:extLst>
        </xdr:cNvPr>
        <xdr:cNvCxnSpPr/>
      </xdr:nvCxnSpPr>
      <xdr:spPr>
        <a:xfrm flipV="1">
          <a:off x="228600" y="5303520"/>
          <a:ext cx="15621000" cy="457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589704</xdr:colOff>
      <xdr:row>0</xdr:row>
      <xdr:rowOff>0</xdr:rowOff>
    </xdr:from>
    <xdr:to>
      <xdr:col>15</xdr:col>
      <xdr:colOff>6350</xdr:colOff>
      <xdr:row>29</xdr:row>
      <xdr:rowOff>30480</xdr:rowOff>
    </xdr:to>
    <xdr:cxnSp macro="">
      <xdr:nvCxnSpPr>
        <xdr:cNvPr id="17" name="Straight Connector 16">
          <a:extLst>
            <a:ext uri="{FF2B5EF4-FFF2-40B4-BE49-F238E27FC236}">
              <a16:creationId xmlns:a16="http://schemas.microsoft.com/office/drawing/2014/main" id="{83A421E6-EBA6-8DE5-414F-1D616B3C6B88}"/>
            </a:ext>
          </a:extLst>
        </xdr:cNvPr>
        <xdr:cNvCxnSpPr/>
      </xdr:nvCxnSpPr>
      <xdr:spPr>
        <a:xfrm>
          <a:off x="9204537" y="0"/>
          <a:ext cx="30480" cy="524806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420793</xdr:colOff>
      <xdr:row>12</xdr:row>
      <xdr:rowOff>46607</xdr:rowOff>
    </xdr:from>
    <xdr:to>
      <xdr:col>23</xdr:col>
      <xdr:colOff>50800</xdr:colOff>
      <xdr:row>27</xdr:row>
      <xdr:rowOff>107566</xdr:rowOff>
    </xdr:to>
    <xdr:sp macro="" textlink="">
      <xdr:nvSpPr>
        <xdr:cNvPr id="18" name="Rectangle: Rounded Corners 17">
          <a:extLst>
            <a:ext uri="{FF2B5EF4-FFF2-40B4-BE49-F238E27FC236}">
              <a16:creationId xmlns:a16="http://schemas.microsoft.com/office/drawing/2014/main" id="{B45A9527-0257-FD3B-2315-9D81502920A8}"/>
            </a:ext>
          </a:extLst>
        </xdr:cNvPr>
        <xdr:cNvSpPr/>
      </xdr:nvSpPr>
      <xdr:spPr>
        <a:xfrm>
          <a:off x="9649460" y="2421467"/>
          <a:ext cx="4540673" cy="2759710"/>
        </a:xfrm>
        <a:prstGeom prst="roundRect">
          <a:avLst>
            <a:gd name="adj" fmla="val 96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411480</xdr:colOff>
      <xdr:row>1</xdr:row>
      <xdr:rowOff>106680</xdr:rowOff>
    </xdr:from>
    <xdr:to>
      <xdr:col>9</xdr:col>
      <xdr:colOff>190500</xdr:colOff>
      <xdr:row>4</xdr:row>
      <xdr:rowOff>45720</xdr:rowOff>
    </xdr:to>
    <xdr:sp macro="" textlink="">
      <xdr:nvSpPr>
        <xdr:cNvPr id="19" name="TextBox 18">
          <a:extLst>
            <a:ext uri="{FF2B5EF4-FFF2-40B4-BE49-F238E27FC236}">
              <a16:creationId xmlns:a16="http://schemas.microsoft.com/office/drawing/2014/main" id="{48575E30-EB6E-B481-519F-A874CBCBBAD2}"/>
            </a:ext>
          </a:extLst>
        </xdr:cNvPr>
        <xdr:cNvSpPr txBox="1"/>
      </xdr:nvSpPr>
      <xdr:spPr>
        <a:xfrm>
          <a:off x="1630680" y="289560"/>
          <a:ext cx="404622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r>
            <a:rPr lang="en-US" sz="2000" baseline="0"/>
            <a:t>Hospital Emergency Room Dashboard</a:t>
          </a:r>
        </a:p>
      </xdr:txBody>
    </xdr:sp>
    <xdr:clientData/>
  </xdr:twoCellAnchor>
  <xdr:twoCellAnchor editAs="oneCell">
    <xdr:from>
      <xdr:col>0</xdr:col>
      <xdr:colOff>15240</xdr:colOff>
      <xdr:row>0</xdr:row>
      <xdr:rowOff>111093</xdr:rowOff>
    </xdr:from>
    <xdr:to>
      <xdr:col>3</xdr:col>
      <xdr:colOff>209675</xdr:colOff>
      <xdr:row>6</xdr:row>
      <xdr:rowOff>137161</xdr:rowOff>
    </xdr:to>
    <xdr:pic>
      <xdr:nvPicPr>
        <xdr:cNvPr id="23" name="Picture 22">
          <a:extLst>
            <a:ext uri="{FF2B5EF4-FFF2-40B4-BE49-F238E27FC236}">
              <a16:creationId xmlns:a16="http://schemas.microsoft.com/office/drawing/2014/main" id="{EB0CB9B6-CEF5-F0F5-02F7-26AA0750B9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 y="111093"/>
          <a:ext cx="2023235" cy="1123348"/>
        </a:xfrm>
        <a:prstGeom prst="rect">
          <a:avLst/>
        </a:prstGeom>
      </xdr:spPr>
    </xdr:pic>
    <xdr:clientData/>
  </xdr:twoCellAnchor>
  <xdr:twoCellAnchor>
    <xdr:from>
      <xdr:col>4</xdr:col>
      <xdr:colOff>411480</xdr:colOff>
      <xdr:row>3</xdr:row>
      <xdr:rowOff>114300</xdr:rowOff>
    </xdr:from>
    <xdr:to>
      <xdr:col>7</xdr:col>
      <xdr:colOff>281940</xdr:colOff>
      <xdr:row>5</xdr:row>
      <xdr:rowOff>15240</xdr:rowOff>
    </xdr:to>
    <xdr:sp macro="" textlink="">
      <xdr:nvSpPr>
        <xdr:cNvPr id="24" name="TextBox 23">
          <a:extLst>
            <a:ext uri="{FF2B5EF4-FFF2-40B4-BE49-F238E27FC236}">
              <a16:creationId xmlns:a16="http://schemas.microsoft.com/office/drawing/2014/main" id="{17377DC4-1C1F-F6EA-02A3-9EA64EA96069}"/>
            </a:ext>
          </a:extLst>
        </xdr:cNvPr>
        <xdr:cNvSpPr txBox="1"/>
      </xdr:nvSpPr>
      <xdr:spPr>
        <a:xfrm>
          <a:off x="2849880" y="662940"/>
          <a:ext cx="16992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r>
            <a:rPr lang="en-US" sz="2000" baseline="0"/>
            <a:t>Monthly Report</a:t>
          </a:r>
        </a:p>
      </xdr:txBody>
    </xdr:sp>
    <xdr:clientData/>
  </xdr:twoCellAnchor>
  <xdr:twoCellAnchor>
    <xdr:from>
      <xdr:col>2</xdr:col>
      <xdr:colOff>228600</xdr:colOff>
      <xdr:row>8</xdr:row>
      <xdr:rowOff>38100</xdr:rowOff>
    </xdr:from>
    <xdr:to>
      <xdr:col>4</xdr:col>
      <xdr:colOff>220980</xdr:colOff>
      <xdr:row>10</xdr:row>
      <xdr:rowOff>83820</xdr:rowOff>
    </xdr:to>
    <xdr:sp macro="" textlink="'pivot report'!A7">
      <xdr:nvSpPr>
        <xdr:cNvPr id="28" name="TextBox 27">
          <a:extLst>
            <a:ext uri="{FF2B5EF4-FFF2-40B4-BE49-F238E27FC236}">
              <a16:creationId xmlns:a16="http://schemas.microsoft.com/office/drawing/2014/main" id="{5F37A2D9-6852-FC87-40B3-E07C44A5DEA0}"/>
            </a:ext>
          </a:extLst>
        </xdr:cNvPr>
        <xdr:cNvSpPr txBox="1"/>
      </xdr:nvSpPr>
      <xdr:spPr>
        <a:xfrm>
          <a:off x="1447800" y="1501140"/>
          <a:ext cx="12115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fld id="{F0E3AFA3-BD4F-424D-8421-15837F8FCF22}" type="TxLink">
            <a:rPr lang="en-US" sz="3200" b="0" i="0" u="none" strike="noStrike" baseline="0">
              <a:solidFill>
                <a:srgbClr val="000000"/>
              </a:solidFill>
              <a:latin typeface="Calibri"/>
              <a:ea typeface="Calibri"/>
              <a:cs typeface="Calibri"/>
            </a:rPr>
            <a:pPr algn="r"/>
            <a:t>469</a:t>
          </a:fld>
          <a:endParaRPr lang="en-US" sz="3200" baseline="0"/>
        </a:p>
      </xdr:txBody>
    </xdr:sp>
    <xdr:clientData/>
  </xdr:twoCellAnchor>
  <xdr:twoCellAnchor>
    <xdr:from>
      <xdr:col>2</xdr:col>
      <xdr:colOff>211666</xdr:colOff>
      <xdr:row>10</xdr:row>
      <xdr:rowOff>60960</xdr:rowOff>
    </xdr:from>
    <xdr:to>
      <xdr:col>5</xdr:col>
      <xdr:colOff>402166</xdr:colOff>
      <xdr:row>13</xdr:row>
      <xdr:rowOff>15240</xdr:rowOff>
    </xdr:to>
    <xdr:sp macro="" textlink="">
      <xdr:nvSpPr>
        <xdr:cNvPr id="29" name="TextBox 28">
          <a:extLst>
            <a:ext uri="{FF2B5EF4-FFF2-40B4-BE49-F238E27FC236}">
              <a16:creationId xmlns:a16="http://schemas.microsoft.com/office/drawing/2014/main" id="{92622848-E411-2FCB-FAC9-9CEDE31AB437}"/>
            </a:ext>
          </a:extLst>
        </xdr:cNvPr>
        <xdr:cNvSpPr txBox="1"/>
      </xdr:nvSpPr>
      <xdr:spPr>
        <a:xfrm>
          <a:off x="1439333" y="1860127"/>
          <a:ext cx="2032000" cy="494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r>
            <a:rPr lang="en-US" sz="2400" baseline="0"/>
            <a:t>No</a:t>
          </a:r>
          <a:r>
            <a:rPr lang="en-US" sz="2000" baseline="0"/>
            <a:t>. </a:t>
          </a:r>
          <a:r>
            <a:rPr lang="en-US" sz="2400" baseline="0"/>
            <a:t>Of</a:t>
          </a:r>
          <a:r>
            <a:rPr lang="en-US" sz="2000" baseline="0"/>
            <a:t> </a:t>
          </a:r>
          <a:r>
            <a:rPr lang="en-US" sz="2400" baseline="0"/>
            <a:t>Patient</a:t>
          </a:r>
          <a:endParaRPr lang="en-US" sz="2000" baseline="0"/>
        </a:p>
      </xdr:txBody>
    </xdr:sp>
    <xdr:clientData/>
  </xdr:twoCellAnchor>
  <xdr:twoCellAnchor>
    <xdr:from>
      <xdr:col>6</xdr:col>
      <xdr:colOff>289560</xdr:colOff>
      <xdr:row>8</xdr:row>
      <xdr:rowOff>38100</xdr:rowOff>
    </xdr:from>
    <xdr:to>
      <xdr:col>8</xdr:col>
      <xdr:colOff>579120</xdr:colOff>
      <xdr:row>10</xdr:row>
      <xdr:rowOff>83820</xdr:rowOff>
    </xdr:to>
    <xdr:sp macro="" textlink="'pivot report'!A13">
      <xdr:nvSpPr>
        <xdr:cNvPr id="30" name="TextBox 29">
          <a:extLst>
            <a:ext uri="{FF2B5EF4-FFF2-40B4-BE49-F238E27FC236}">
              <a16:creationId xmlns:a16="http://schemas.microsoft.com/office/drawing/2014/main" id="{1725E28E-E789-DB37-485C-A59106008A4B}"/>
            </a:ext>
          </a:extLst>
        </xdr:cNvPr>
        <xdr:cNvSpPr txBox="1"/>
      </xdr:nvSpPr>
      <xdr:spPr>
        <a:xfrm>
          <a:off x="3947160" y="1501140"/>
          <a:ext cx="15087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D47DA78E-40CB-437F-BEAA-14032BDFAF83}" type="TxLink">
            <a:rPr lang="en-US" sz="3200" b="0" i="0" u="none" strike="noStrike" baseline="0">
              <a:solidFill>
                <a:srgbClr val="000000"/>
              </a:solidFill>
              <a:latin typeface="Calibri"/>
              <a:ea typeface="Calibri"/>
              <a:cs typeface="Calibri"/>
            </a:rPr>
            <a:pPr algn="l"/>
            <a:t>34.27</a:t>
          </a:fld>
          <a:endParaRPr lang="en-US" sz="9600" baseline="0"/>
        </a:p>
      </xdr:txBody>
    </xdr:sp>
    <xdr:clientData/>
  </xdr:twoCellAnchor>
  <xdr:twoCellAnchor>
    <xdr:from>
      <xdr:col>6</xdr:col>
      <xdr:colOff>127000</xdr:colOff>
      <xdr:row>10</xdr:row>
      <xdr:rowOff>129540</xdr:rowOff>
    </xdr:from>
    <xdr:to>
      <xdr:col>9</xdr:col>
      <xdr:colOff>402168</xdr:colOff>
      <xdr:row>13</xdr:row>
      <xdr:rowOff>15240</xdr:rowOff>
    </xdr:to>
    <xdr:sp macro="" textlink="">
      <xdr:nvSpPr>
        <xdr:cNvPr id="31" name="TextBox 30">
          <a:extLst>
            <a:ext uri="{FF2B5EF4-FFF2-40B4-BE49-F238E27FC236}">
              <a16:creationId xmlns:a16="http://schemas.microsoft.com/office/drawing/2014/main" id="{72B9269E-82A8-4842-CF75-BD2BBE97FEBC}"/>
            </a:ext>
          </a:extLst>
        </xdr:cNvPr>
        <xdr:cNvSpPr txBox="1"/>
      </xdr:nvSpPr>
      <xdr:spPr>
        <a:xfrm>
          <a:off x="3810000" y="1928707"/>
          <a:ext cx="2116668"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r>
            <a:rPr lang="en-US" sz="2000" baseline="0"/>
            <a:t>Average Wait Time</a:t>
          </a:r>
        </a:p>
      </xdr:txBody>
    </xdr:sp>
    <xdr:clientData/>
  </xdr:twoCellAnchor>
  <xdr:twoCellAnchor>
    <xdr:from>
      <xdr:col>10</xdr:col>
      <xdr:colOff>53340</xdr:colOff>
      <xdr:row>8</xdr:row>
      <xdr:rowOff>38100</xdr:rowOff>
    </xdr:from>
    <xdr:to>
      <xdr:col>12</xdr:col>
      <xdr:colOff>128742</xdr:colOff>
      <xdr:row>10</xdr:row>
      <xdr:rowOff>83820</xdr:rowOff>
    </xdr:to>
    <xdr:sp macro="" textlink="'pivot report'!A18">
      <xdr:nvSpPr>
        <xdr:cNvPr id="32" name="TextBox 31">
          <a:extLst>
            <a:ext uri="{FF2B5EF4-FFF2-40B4-BE49-F238E27FC236}">
              <a16:creationId xmlns:a16="http://schemas.microsoft.com/office/drawing/2014/main" id="{D81118D7-BA12-657C-3403-DDCF49040A5A}"/>
            </a:ext>
          </a:extLst>
        </xdr:cNvPr>
        <xdr:cNvSpPr txBox="1"/>
      </xdr:nvSpPr>
      <xdr:spPr>
        <a:xfrm>
          <a:off x="6149340" y="1501140"/>
          <a:ext cx="1294602"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fld id="{F793BA43-FC31-4CD1-8457-BCDFABD2AA1F}" type="TxLink">
            <a:rPr lang="en-US" sz="3200" b="0" i="0" u="none" strike="noStrike" baseline="0">
              <a:solidFill>
                <a:srgbClr val="000000"/>
              </a:solidFill>
              <a:latin typeface="Calibri"/>
              <a:ea typeface="Calibri"/>
              <a:cs typeface="Calibri"/>
            </a:rPr>
            <a:pPr algn="l"/>
            <a:t>4.98</a:t>
          </a:fld>
          <a:endParaRPr lang="en-US" sz="3200" baseline="0"/>
        </a:p>
      </xdr:txBody>
    </xdr:sp>
    <xdr:clientData/>
  </xdr:twoCellAnchor>
  <xdr:twoCellAnchor>
    <xdr:from>
      <xdr:col>10</xdr:col>
      <xdr:colOff>84667</xdr:colOff>
      <xdr:row>10</xdr:row>
      <xdr:rowOff>60960</xdr:rowOff>
    </xdr:from>
    <xdr:to>
      <xdr:col>14</xdr:col>
      <xdr:colOff>423333</xdr:colOff>
      <xdr:row>12</xdr:row>
      <xdr:rowOff>99060</xdr:rowOff>
    </xdr:to>
    <xdr:sp macro="" textlink="">
      <xdr:nvSpPr>
        <xdr:cNvPr id="33" name="TextBox 32">
          <a:extLst>
            <a:ext uri="{FF2B5EF4-FFF2-40B4-BE49-F238E27FC236}">
              <a16:creationId xmlns:a16="http://schemas.microsoft.com/office/drawing/2014/main" id="{09AC6F4E-41DB-453B-1073-EF632C508F9D}"/>
            </a:ext>
          </a:extLst>
        </xdr:cNvPr>
        <xdr:cNvSpPr txBox="1"/>
      </xdr:nvSpPr>
      <xdr:spPr>
        <a:xfrm>
          <a:off x="6223000" y="1860127"/>
          <a:ext cx="2815166" cy="397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r>
            <a:rPr lang="en-US" sz="2000" baseline="0"/>
            <a:t>patientSatisfaction Score</a:t>
          </a:r>
        </a:p>
      </xdr:txBody>
    </xdr:sp>
    <xdr:clientData/>
  </xdr:twoCellAnchor>
  <xdr:twoCellAnchor editAs="oneCell">
    <xdr:from>
      <xdr:col>8</xdr:col>
      <xdr:colOff>180060</xdr:colOff>
      <xdr:row>8</xdr:row>
      <xdr:rowOff>114300</xdr:rowOff>
    </xdr:from>
    <xdr:to>
      <xdr:col>9</xdr:col>
      <xdr:colOff>241020</xdr:colOff>
      <xdr:row>10</xdr:row>
      <xdr:rowOff>153220</xdr:rowOff>
    </xdr:to>
    <xdr:pic>
      <xdr:nvPicPr>
        <xdr:cNvPr id="35" name="Graphic 34" descr="Hourglass Finished with solid fill">
          <a:extLst>
            <a:ext uri="{FF2B5EF4-FFF2-40B4-BE49-F238E27FC236}">
              <a16:creationId xmlns:a16="http://schemas.microsoft.com/office/drawing/2014/main" id="{14EFCDD0-9F26-0773-9848-7EFBED0C0EB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056860" y="1577340"/>
          <a:ext cx="670560" cy="404680"/>
        </a:xfrm>
        <a:prstGeom prst="rect">
          <a:avLst/>
        </a:prstGeom>
      </xdr:spPr>
    </xdr:pic>
    <xdr:clientData/>
  </xdr:twoCellAnchor>
  <xdr:twoCellAnchor editAs="oneCell">
    <xdr:from>
      <xdr:col>4</xdr:col>
      <xdr:colOff>299580</xdr:colOff>
      <xdr:row>8</xdr:row>
      <xdr:rowOff>50940</xdr:rowOff>
    </xdr:from>
    <xdr:to>
      <xdr:col>5</xdr:col>
      <xdr:colOff>360540</xdr:colOff>
      <xdr:row>10</xdr:row>
      <xdr:rowOff>89860</xdr:rowOff>
    </xdr:to>
    <xdr:pic>
      <xdr:nvPicPr>
        <xdr:cNvPr id="37" name="Graphic 36" descr="Male profile with solid fill">
          <a:extLst>
            <a:ext uri="{FF2B5EF4-FFF2-40B4-BE49-F238E27FC236}">
              <a16:creationId xmlns:a16="http://schemas.microsoft.com/office/drawing/2014/main" id="{7A0B1029-CC4D-0D0A-265F-EB29F20D20A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37980" y="1513980"/>
          <a:ext cx="670560" cy="404680"/>
        </a:xfrm>
        <a:prstGeom prst="rect">
          <a:avLst/>
        </a:prstGeom>
      </xdr:spPr>
    </xdr:pic>
    <xdr:clientData/>
  </xdr:twoCellAnchor>
  <xdr:twoCellAnchor editAs="oneCell">
    <xdr:from>
      <xdr:col>11</xdr:col>
      <xdr:colOff>556260</xdr:colOff>
      <xdr:row>8</xdr:row>
      <xdr:rowOff>48540</xdr:rowOff>
    </xdr:from>
    <xdr:to>
      <xdr:col>12</xdr:col>
      <xdr:colOff>617220</xdr:colOff>
      <xdr:row>10</xdr:row>
      <xdr:rowOff>87460</xdr:rowOff>
    </xdr:to>
    <xdr:pic>
      <xdr:nvPicPr>
        <xdr:cNvPr id="39" name="Graphic 38" descr="Star with solid fill">
          <a:extLst>
            <a:ext uri="{FF2B5EF4-FFF2-40B4-BE49-F238E27FC236}">
              <a16:creationId xmlns:a16="http://schemas.microsoft.com/office/drawing/2014/main" id="{D1AAA402-00B5-7330-53F0-BA7ED7BFA40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261860" y="1511580"/>
          <a:ext cx="670560" cy="404680"/>
        </a:xfrm>
        <a:prstGeom prst="rect">
          <a:avLst/>
        </a:prstGeom>
      </xdr:spPr>
    </xdr:pic>
    <xdr:clientData/>
  </xdr:twoCellAnchor>
  <xdr:twoCellAnchor editAs="oneCell">
    <xdr:from>
      <xdr:col>0</xdr:col>
      <xdr:colOff>231006</xdr:colOff>
      <xdr:row>7</xdr:row>
      <xdr:rowOff>72189</xdr:rowOff>
    </xdr:from>
    <xdr:to>
      <xdr:col>1</xdr:col>
      <xdr:colOff>440856</xdr:colOff>
      <xdr:row>28</xdr:row>
      <xdr:rowOff>2416</xdr:rowOff>
    </xdr:to>
    <mc:AlternateContent xmlns:mc="http://schemas.openxmlformats.org/markup-compatibility/2006" xmlns:a14="http://schemas.microsoft.com/office/drawing/2010/main">
      <mc:Choice Requires="a14">
        <xdr:graphicFrame macro="">
          <xdr:nvGraphicFramePr>
            <xdr:cNvPr id="40" name="Date (Month)">
              <a:extLst>
                <a:ext uri="{FF2B5EF4-FFF2-40B4-BE49-F238E27FC236}">
                  <a16:creationId xmlns:a16="http://schemas.microsoft.com/office/drawing/2014/main" id="{00B498FF-119B-4AED-A412-39BDB42B239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31006" y="1377317"/>
              <a:ext cx="817829" cy="406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264695</xdr:colOff>
      <xdr:row>11</xdr:row>
      <xdr:rowOff>336886</xdr:rowOff>
    </xdr:from>
    <xdr:to>
      <xdr:col>5</xdr:col>
      <xdr:colOff>409074</xdr:colOff>
      <xdr:row>13</xdr:row>
      <xdr:rowOff>80212</xdr:rowOff>
    </xdr:to>
    <xdr:graphicFrame macro="">
      <xdr:nvGraphicFramePr>
        <xdr:cNvPr id="42" name="Chart 41">
          <a:hlinkClick xmlns:r="http://schemas.openxmlformats.org/officeDocument/2006/relationships" r:id="rId8"/>
          <a:extLst>
            <a:ext uri="{FF2B5EF4-FFF2-40B4-BE49-F238E27FC236}">
              <a16:creationId xmlns:a16="http://schemas.microsoft.com/office/drawing/2014/main" id="{4F59FE4A-4D98-7AA1-9A14-B41AD2EDE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0</xdr:colOff>
      <xdr:row>12</xdr:row>
      <xdr:rowOff>0</xdr:rowOff>
    </xdr:from>
    <xdr:to>
      <xdr:col>9</xdr:col>
      <xdr:colOff>518808</xdr:colOff>
      <xdr:row>13</xdr:row>
      <xdr:rowOff>128337</xdr:rowOff>
    </xdr:to>
    <xdr:graphicFrame macro="">
      <xdr:nvGraphicFramePr>
        <xdr:cNvPr id="43" name="Chart 42">
          <a:hlinkClick xmlns:r="http://schemas.openxmlformats.org/officeDocument/2006/relationships" r:id="rId10"/>
          <a:extLst>
            <a:ext uri="{FF2B5EF4-FFF2-40B4-BE49-F238E27FC236}">
              <a16:creationId xmlns:a16="http://schemas.microsoft.com/office/drawing/2014/main" id="{042124D4-F6A0-4066-AB54-9E1E32D2A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32425</xdr:colOff>
      <xdr:row>11</xdr:row>
      <xdr:rowOff>264694</xdr:rowOff>
    </xdr:from>
    <xdr:to>
      <xdr:col>14</xdr:col>
      <xdr:colOff>0</xdr:colOff>
      <xdr:row>13</xdr:row>
      <xdr:rowOff>104273</xdr:rowOff>
    </xdr:to>
    <xdr:graphicFrame macro="">
      <xdr:nvGraphicFramePr>
        <xdr:cNvPr id="44" name="Chart 43">
          <a:hlinkClick xmlns:r="http://schemas.openxmlformats.org/officeDocument/2006/relationships" r:id="rId12"/>
          <a:extLst>
            <a:ext uri="{FF2B5EF4-FFF2-40B4-BE49-F238E27FC236}">
              <a16:creationId xmlns:a16="http://schemas.microsoft.com/office/drawing/2014/main" id="{01C1B81D-ACAA-4A5D-881C-7668D1F4D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32427</xdr:colOff>
          <xdr:row>15</xdr:row>
          <xdr:rowOff>81064</xdr:rowOff>
        </xdr:from>
        <xdr:to>
          <xdr:col>12</xdr:col>
          <xdr:colOff>616085</xdr:colOff>
          <xdr:row>19</xdr:row>
          <xdr:rowOff>137809</xdr:rowOff>
        </xdr:to>
        <xdr:pic>
          <xdr:nvPicPr>
            <xdr:cNvPr id="11" name="Picture 10">
              <a:extLst>
                <a:ext uri="{FF2B5EF4-FFF2-40B4-BE49-F238E27FC236}">
                  <a16:creationId xmlns:a16="http://schemas.microsoft.com/office/drawing/2014/main" id="{1BF9065C-61E1-CA26-F52D-2FBC8724B2BF}"/>
                </a:ext>
              </a:extLst>
            </xdr:cNvPr>
            <xdr:cNvPicPr>
              <a:picLocks noChangeAspect="1" noChangeArrowheads="1"/>
              <a:extLst>
                <a:ext uri="{84589F7E-364E-4C9E-8A38-B11213B215E9}">
                  <a14:cameraTool cellRange="'pivot report'!$A$46:$D$48" spid="_x0000_s4108"/>
                </a:ext>
              </a:extLst>
            </xdr:cNvPicPr>
          </xdr:nvPicPr>
          <xdr:blipFill>
            <a:blip xmlns:r="http://schemas.openxmlformats.org/officeDocument/2006/relationships" r:embed="rId14"/>
            <a:srcRect/>
            <a:stretch>
              <a:fillRect/>
            </a:stretch>
          </xdr:blipFill>
          <xdr:spPr bwMode="auto">
            <a:xfrm>
              <a:off x="1248384" y="2877766"/>
              <a:ext cx="6663446" cy="802532"/>
            </a:xfrm>
            <a:prstGeom prst="rect">
              <a:avLst/>
            </a:prstGeom>
            <a:ln w="127000" cap="sq">
              <a:solidFill>
                <a:srgbClr val="000000"/>
              </a:solidFill>
              <a:miter lim="800000"/>
            </a:ln>
            <a:effectLst>
              <a:outerShdw blurRad="57150" dist="50800" dir="27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588361</xdr:colOff>
      <xdr:row>20</xdr:row>
      <xdr:rowOff>12485</xdr:rowOff>
    </xdr:from>
    <xdr:to>
      <xdr:col>12</xdr:col>
      <xdr:colOff>616085</xdr:colOff>
      <xdr:row>30</xdr:row>
      <xdr:rowOff>40532</xdr:rowOff>
    </xdr:to>
    <xdr:graphicFrame macro="">
      <xdr:nvGraphicFramePr>
        <xdr:cNvPr id="16" name="Chart 15">
          <a:extLst>
            <a:ext uri="{FF2B5EF4-FFF2-40B4-BE49-F238E27FC236}">
              <a16:creationId xmlns:a16="http://schemas.microsoft.com/office/drawing/2014/main" id="{4AE30475-1871-4919-B6F2-E6E8FF919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462064</xdr:colOff>
      <xdr:row>26</xdr:row>
      <xdr:rowOff>178341</xdr:rowOff>
    </xdr:from>
    <xdr:to>
      <xdr:col>9</xdr:col>
      <xdr:colOff>380999</xdr:colOff>
      <xdr:row>29</xdr:row>
      <xdr:rowOff>40532</xdr:rowOff>
    </xdr:to>
    <xdr:sp macro="" textlink="">
      <xdr:nvSpPr>
        <xdr:cNvPr id="20" name="TextBox 19">
          <a:extLst>
            <a:ext uri="{FF2B5EF4-FFF2-40B4-BE49-F238E27FC236}">
              <a16:creationId xmlns:a16="http://schemas.microsoft.com/office/drawing/2014/main" id="{884C2362-F5E8-49BA-BF18-BC60F7EF3286}"/>
            </a:ext>
          </a:extLst>
        </xdr:cNvPr>
        <xdr:cNvSpPr txBox="1"/>
      </xdr:nvSpPr>
      <xdr:spPr>
        <a:xfrm>
          <a:off x="1678021" y="5025958"/>
          <a:ext cx="4174787" cy="421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r>
            <a:rPr lang="en-US" sz="2000" baseline="0"/>
            <a:t>No.of Patient by Age Group</a:t>
          </a:r>
        </a:p>
      </xdr:txBody>
    </xdr:sp>
    <xdr:clientData/>
  </xdr:twoCellAnchor>
  <xdr:twoCellAnchor>
    <xdr:from>
      <xdr:col>15</xdr:col>
      <xdr:colOff>448515</xdr:colOff>
      <xdr:row>0</xdr:row>
      <xdr:rowOff>119742</xdr:rowOff>
    </xdr:from>
    <xdr:to>
      <xdr:col>19</xdr:col>
      <xdr:colOff>59873</xdr:colOff>
      <xdr:row>11</xdr:row>
      <xdr:rowOff>174170</xdr:rowOff>
    </xdr:to>
    <xdr:graphicFrame macro="">
      <xdr:nvGraphicFramePr>
        <xdr:cNvPr id="21" name="Chart 20">
          <a:extLst>
            <a:ext uri="{FF2B5EF4-FFF2-40B4-BE49-F238E27FC236}">
              <a16:creationId xmlns:a16="http://schemas.microsoft.com/office/drawing/2014/main" id="{C312DB85-8609-4C8D-8426-8C1F0F658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467502</xdr:colOff>
      <xdr:row>25</xdr:row>
      <xdr:rowOff>65006</xdr:rowOff>
    </xdr:from>
    <xdr:to>
      <xdr:col>21</xdr:col>
      <xdr:colOff>417095</xdr:colOff>
      <xdr:row>28</xdr:row>
      <xdr:rowOff>12534</xdr:rowOff>
    </xdr:to>
    <xdr:sp macro="" textlink="">
      <xdr:nvSpPr>
        <xdr:cNvPr id="25" name="TextBox 24">
          <a:extLst>
            <a:ext uri="{FF2B5EF4-FFF2-40B4-BE49-F238E27FC236}">
              <a16:creationId xmlns:a16="http://schemas.microsoft.com/office/drawing/2014/main" id="{92713E4C-A892-5E1A-D5C6-463505BB524B}"/>
            </a:ext>
          </a:extLst>
        </xdr:cNvPr>
        <xdr:cNvSpPr txBox="1"/>
      </xdr:nvSpPr>
      <xdr:spPr>
        <a:xfrm>
          <a:off x="9635565" y="4885659"/>
          <a:ext cx="3607193" cy="50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r>
            <a:rPr lang="en-US" sz="1400" b="1" baseline="0"/>
            <a:t>No.of patient by department referal</a:t>
          </a:r>
        </a:p>
      </xdr:txBody>
    </xdr:sp>
    <xdr:clientData/>
  </xdr:twoCellAnchor>
  <xdr:twoCellAnchor>
    <xdr:from>
      <xdr:col>19</xdr:col>
      <xdr:colOff>372139</xdr:colOff>
      <xdr:row>0</xdr:row>
      <xdr:rowOff>159487</xdr:rowOff>
    </xdr:from>
    <xdr:to>
      <xdr:col>23</xdr:col>
      <xdr:colOff>88605</xdr:colOff>
      <xdr:row>10</xdr:row>
      <xdr:rowOff>97464</xdr:rowOff>
    </xdr:to>
    <xdr:graphicFrame macro="">
      <xdr:nvGraphicFramePr>
        <xdr:cNvPr id="26" name="Chart 25">
          <a:extLst>
            <a:ext uri="{FF2B5EF4-FFF2-40B4-BE49-F238E27FC236}">
              <a16:creationId xmlns:a16="http://schemas.microsoft.com/office/drawing/2014/main" id="{F22D03D6-5AEF-4E08-AE37-7508616F9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344573</xdr:colOff>
      <xdr:row>10</xdr:row>
      <xdr:rowOff>17719</xdr:rowOff>
    </xdr:from>
    <xdr:to>
      <xdr:col>22</xdr:col>
      <xdr:colOff>535073</xdr:colOff>
      <xdr:row>11</xdr:row>
      <xdr:rowOff>334215</xdr:rowOff>
    </xdr:to>
    <xdr:sp macro="" textlink="">
      <xdr:nvSpPr>
        <xdr:cNvPr id="27" name="TextBox 26">
          <a:extLst>
            <a:ext uri="{FF2B5EF4-FFF2-40B4-BE49-F238E27FC236}">
              <a16:creationId xmlns:a16="http://schemas.microsoft.com/office/drawing/2014/main" id="{A55ED2C1-8B7A-4D27-9D82-B84D98E5FF5D}"/>
            </a:ext>
          </a:extLst>
        </xdr:cNvPr>
        <xdr:cNvSpPr txBox="1"/>
      </xdr:nvSpPr>
      <xdr:spPr>
        <a:xfrm>
          <a:off x="11978364" y="1878417"/>
          <a:ext cx="2024616" cy="502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a:r>
            <a:rPr lang="en-US" sz="1400" b="1" baseline="0"/>
            <a:t>Gender Wise Analysis</a:t>
          </a:r>
        </a:p>
      </xdr:txBody>
    </xdr:sp>
    <xdr:clientData/>
  </xdr:twoCellAnchor>
  <xdr:twoCellAnchor>
    <xdr:from>
      <xdr:col>15</xdr:col>
      <xdr:colOff>337019</xdr:colOff>
      <xdr:row>12</xdr:row>
      <xdr:rowOff>31194</xdr:rowOff>
    </xdr:from>
    <xdr:to>
      <xdr:col>23</xdr:col>
      <xdr:colOff>32219</xdr:colOff>
      <xdr:row>26</xdr:row>
      <xdr:rowOff>24064</xdr:rowOff>
    </xdr:to>
    <xdr:graphicFrame macro="">
      <xdr:nvGraphicFramePr>
        <xdr:cNvPr id="34" name="Chart 33">
          <a:extLst>
            <a:ext uri="{FF2B5EF4-FFF2-40B4-BE49-F238E27FC236}">
              <a16:creationId xmlns:a16="http://schemas.microsoft.com/office/drawing/2014/main" id="{EA0B98C8-D798-43B7-8ED4-54A6FDBE3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9</xdr:col>
      <xdr:colOff>513347</xdr:colOff>
      <xdr:row>2</xdr:row>
      <xdr:rowOff>152400</xdr:rowOff>
    </xdr:from>
    <xdr:to>
      <xdr:col>14</xdr:col>
      <xdr:colOff>352927</xdr:colOff>
      <xdr:row>6</xdr:row>
      <xdr:rowOff>72191</xdr:rowOff>
    </xdr:to>
    <mc:AlternateContent xmlns:mc="http://schemas.openxmlformats.org/markup-compatibility/2006" xmlns:a14="http://schemas.microsoft.com/office/drawing/2010/main">
      <mc:Choice Requires="a14">
        <xdr:graphicFrame macro="">
          <xdr:nvGraphicFramePr>
            <xdr:cNvPr id="36" name="Date (Year)">
              <a:extLst>
                <a:ext uri="{FF2B5EF4-FFF2-40B4-BE49-F238E27FC236}">
                  <a16:creationId xmlns:a16="http://schemas.microsoft.com/office/drawing/2014/main" id="{8C23DF48-D5C5-4BFA-94E5-A2425ADAD7B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999747" y="521368"/>
              <a:ext cx="2911643" cy="657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0</xdr:rowOff>
    </xdr:from>
    <xdr:to>
      <xdr:col>17</xdr:col>
      <xdr:colOff>0</xdr:colOff>
      <xdr:row>23</xdr:row>
      <xdr:rowOff>64883</xdr:rowOff>
    </xdr:to>
    <xdr:graphicFrame macro="">
      <xdr:nvGraphicFramePr>
        <xdr:cNvPr id="4" name="Chart 3">
          <a:extLst>
            <a:ext uri="{FF2B5EF4-FFF2-40B4-BE49-F238E27FC236}">
              <a16:creationId xmlns:a16="http://schemas.microsoft.com/office/drawing/2014/main" id="{702F5027-5C18-4D6A-B2F7-7340BE676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1</xdr:row>
      <xdr:rowOff>15089</xdr:rowOff>
    </xdr:from>
    <xdr:to>
      <xdr:col>16</xdr:col>
      <xdr:colOff>550149</xdr:colOff>
      <xdr:row>4</xdr:row>
      <xdr:rowOff>15089</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B46B7D57-9C7F-42BF-9AA9-E92C0E813CD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777743" y="196158"/>
          <a:ext cx="550149" cy="54320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6.602705671299" createdVersion="5" refreshedVersion="8" minRefreshableVersion="3" recordCount="0" supportSubquery="1" supportAdvancedDrill="1" xr:uid="{E33C297A-09D5-466B-BBCD-D53A133331D4}">
  <cacheSource type="external" connectionId="3"/>
  <cacheFields count="4">
    <cacheField name="[Measures].[Distinct Count of Patient Id]" caption="Distinct Count of Patient Id" numFmtId="0" hierarchy="25" level="32767"/>
    <cacheField name="[Calendar_table].[Date (Day)].[Date (Day)]" caption="Date (Day)" numFmtId="0" hierarchy="2" level="1">
      <sharedItems count="31">
        <s v="1-Sep"/>
        <s v="2-Sep"/>
        <s v="3-Sep"/>
        <s v="4-Sep"/>
        <s v="5-Sep"/>
        <s v="6-Sep"/>
        <s v="7-Sep"/>
        <s v="8-Sep"/>
        <s v="9-Sep"/>
        <s v="10-Sep"/>
        <s v="11-Sep"/>
        <s v="12-Sep"/>
        <s v="13-Sep"/>
        <s v="14-Sep"/>
        <s v="15-Sep"/>
        <s v="16-Sep"/>
        <s v="17-Sep"/>
        <s v="18-Sep"/>
        <s v="19-Sep"/>
        <s v="20-Sep"/>
        <s v="21-Sep"/>
        <s v="22-Sep"/>
        <s v="23-Sep"/>
        <s v="24-Sep"/>
        <s v="25-Sep"/>
        <s v="26-Sep"/>
        <s v="27-Sep"/>
        <s v="28-Sep"/>
        <s v="29-Sep"/>
        <s v="30-Sep"/>
        <s v="2-Apr" u="1"/>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6.602705902777" createdVersion="5" refreshedVersion="8" minRefreshableVersion="3" recordCount="0" supportSubquery="1" supportAdvancedDrill="1" xr:uid="{313AA263-38C6-45E1-92B5-24A1B9D60FE8}">
  <cacheSource type="external" connectionId="3"/>
  <cacheFields count="3">
    <cacheField name="[Measures].[Distinct Count of Patient Id]" caption="Distinct Count of Patient Id"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6.602706134261" createdVersion="5" refreshedVersion="8" minRefreshableVersion="3" recordCount="0" supportSubquery="1" supportAdvancedDrill="1" xr:uid="{3A779733-9696-4D62-AF56-F7DFC213DFE9}">
  <cacheSource type="external" connectionId="3"/>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6.602706481484" createdVersion="5" refreshedVersion="8" minRefreshableVersion="3" recordCount="0" supportSubquery="1" supportAdvancedDrill="1" xr:uid="{A3F9C7DE-7901-436B-93CB-6BCD1A24ED8E}">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6.602706944446" createdVersion="5" refreshedVersion="8" minRefreshableVersion="3" recordCount="0" supportSubquery="1" supportAdvancedDrill="1" xr:uid="{D3BBFCB3-0D84-4125-A224-FF579B7CDE8D}">
  <cacheSource type="external" connectionId="3"/>
  <cacheFields count="4">
    <cacheField name="[Calendar_table].[Date (Day)].[Date (Day)]" caption="Date (Day)" numFmtId="0" hierarchy="2" level="1">
      <sharedItems count="31">
        <s v="1-Sep"/>
        <s v="2-Sep"/>
        <s v="3-Sep"/>
        <s v="4-Sep"/>
        <s v="5-Sep"/>
        <s v="6-Sep"/>
        <s v="7-Sep"/>
        <s v="8-Sep"/>
        <s v="9-Sep"/>
        <s v="10-Sep"/>
        <s v="11-Sep"/>
        <s v="12-Sep"/>
        <s v="13-Sep"/>
        <s v="14-Sep"/>
        <s v="15-Sep"/>
        <s v="16-Sep"/>
        <s v="17-Sep"/>
        <s v="18-Sep"/>
        <s v="19-Sep"/>
        <s v="20-Sep"/>
        <s v="21-Sep"/>
        <s v="22-Sep"/>
        <s v="23-Sep"/>
        <s v="24-Sep"/>
        <s v="25-Sep"/>
        <s v="26-Sep"/>
        <s v="27-Sep"/>
        <s v="28-Sep"/>
        <s v="29-Sep"/>
        <s v="30-Sep"/>
        <s v="2-Apr"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6.602707407408" createdVersion="5" refreshedVersion="8" minRefreshableVersion="3" recordCount="0" supportSubquery="1" supportAdvancedDrill="1" xr:uid="{A207B453-CDD0-4DF2-B616-3649744906C9}">
  <cacheSource type="external" connectionId="3"/>
  <cacheFields count="4">
    <cacheField name="[Calendar_table].[Date (Day)].[Date (Day)]" caption="Date (Day)" numFmtId="0" hierarchy="2" level="1">
      <sharedItems count="31">
        <s v="1-Sep"/>
        <s v="2-Sep"/>
        <s v="3-Sep"/>
        <s v="4-Sep"/>
        <s v="5-Sep"/>
        <s v="6-Sep"/>
        <s v="7-Sep"/>
        <s v="8-Sep"/>
        <s v="9-Sep"/>
        <s v="10-Sep"/>
        <s v="11-Sep"/>
        <s v="12-Sep"/>
        <s v="13-Sep"/>
        <s v="14-Sep"/>
        <s v="15-Sep"/>
        <s v="16-Sep"/>
        <s v="17-Sep"/>
        <s v="18-Sep"/>
        <s v="19-Sep"/>
        <s v="20-Sep"/>
        <s v="21-Sep"/>
        <s v="22-Sep"/>
        <s v="23-Sep"/>
        <s v="24-Sep"/>
        <s v="25-Sep"/>
        <s v="26-Sep"/>
        <s v="27-Sep"/>
        <s v="28-Sep"/>
        <s v="29-Sep"/>
        <s v="30-Sep"/>
        <s v="2-Apr"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6.602707986109" createdVersion="5" refreshedVersion="8" minRefreshableVersion="3" recordCount="0" supportSubquery="1" supportAdvancedDrill="1" xr:uid="{A9C5D6BB-25B5-4B77-B910-A0E9726C5CBA}">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6.602708564817" createdVersion="5" refreshedVersion="8" minRefreshableVersion="3" recordCount="0" supportSubquery="1" supportAdvancedDrill="1" xr:uid="{973BA195-773A-4A4F-BE4E-0FE7D0BFC91E}">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1" level="32767"/>
    <cacheField name="[Hospital Emergency Room Data].[Age Group].[Age Group]" caption="Age Group" numFmtId="0" hierarchy="16" level="1">
      <sharedItems count="8">
        <s v="0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6.602709027778" createdVersion="5" refreshedVersion="8" minRefreshableVersion="3" recordCount="0" supportSubquery="1" supportAdvancedDrill="1" xr:uid="{C2909584-C277-459B-B895-D3E4E5AB559C}">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6.602709606479" createdVersion="5" refreshedVersion="8" minRefreshableVersion="3" recordCount="0" supportSubquery="1" supportAdvancedDrill="1" xr:uid="{91B91E9E-E0B6-44CB-9358-4B66D6244AE1}">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6.602709953702" createdVersion="5" refreshedVersion="8" minRefreshableVersion="3" recordCount="0" supportSubquery="1" supportAdvancedDrill="1" xr:uid="{1D3DAF90-DE96-4ABD-9441-456EDEA1DC20}">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6.60271053241" createdVersion="5" refreshedVersion="8" minRefreshableVersion="3" recordCount="0" supportSubquery="1" supportAdvancedDrill="1" xr:uid="{03EDB1A9-456F-48E5-BE28-C0E66A49F7D0}">
  <cacheSource type="external" connectionId="3"/>
  <cacheFields count="4">
    <cacheField name="[Calendar_table].[Date (Month)].[Date (Month)]" caption="Date (Month)" numFmtId="0" hierarchy="1" level="1">
      <sharedItems count="1">
        <s v="Jul"/>
      </sharedItems>
    </cacheField>
    <cacheField name="[Calenda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3"/>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6.461847453706" createdVersion="3" refreshedVersion="8" minRefreshableVersion="3" recordCount="0" supportSubquery="1" supportAdvancedDrill="1" xr:uid="{7D969096-135A-4C31-A9D4-26C7331CD40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040397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83D61E-C4D6-4B42-B10C-B34A19430307}" name="PivotTable5" cacheId="4" applyNumberFormats="0" applyBorderFormats="0" applyFontFormats="0" applyPatternFormats="0" applyAlignmentFormats="0" applyWidthHeightFormats="1" dataCaption="Values" tag="c4e5424d-e1f5-4ad3-83c6-84488f1980bf" updatedVersion="8" minRefreshableVersion="3" subtotalHiddenItems="1" itemPrintTitles="1" createdVersion="5" indent="0" outline="1" outlineData="1" multipleFieldFilters="0" chartFormat="77">
  <location ref="I6:J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2">
    <format dxfId="1">
      <pivotArea dataOnly="0" labelOnly="1" fieldPosition="0">
        <references count="1">
          <reference field="0" count="1">
            <x v="30"/>
          </reference>
        </references>
      </pivotArea>
    </format>
    <format dxfId="0">
      <pivotArea outline="0" collapsedLevelsAreSubtotals="1" fieldPosition="0"/>
    </format>
  </formats>
  <chartFormats count="3">
    <chartFormat chart="71" format="4" series="1">
      <pivotArea type="data" outline="0" fieldPosition="0">
        <references count="1">
          <reference field="4294967294" count="1" selected="0">
            <x v="0"/>
          </reference>
        </references>
      </pivotArea>
    </chartFormat>
    <chartFormat chart="73" format="6" series="1">
      <pivotArea type="data" outline="0" fieldPosition="0">
        <references count="1">
          <reference field="4294967294" count="1" selected="0">
            <x v="0"/>
          </reference>
        </references>
      </pivotArea>
    </chartFormat>
    <chartFormat chart="76" format="8"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6D9793-918B-4821-B5C3-EBD8414964A6}" name="PivotTable8" cacheId="7" applyNumberFormats="0" applyBorderFormats="0" applyFontFormats="0" applyPatternFormats="0" applyAlignmentFormats="0" applyWidthHeightFormats="1" dataCaption="Values" tag="2efd6167-2548-49a7-a9d0-143db924b77f" updatedVersion="8" minRefreshableVersion="3" subtotalHiddenItems="1" itemPrintTitles="1" createdVersion="5" indent="0" outline="1" outlineData="1" multipleFieldFilters="0" chartFormat="11">
  <location ref="A58:B6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1">
    <format dxfId="2">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32F6E7-ADBC-4AF3-B4E6-C10802BD5911}" name="PivotTable10" cacheId="9" applyNumberFormats="0" applyBorderFormats="0" applyFontFormats="0" applyPatternFormats="0" applyAlignmentFormats="0" applyWidthHeightFormats="1" dataCaption="Values" tag="2efd6167-2548-49a7-a9d0-143db924b77f" updatedVersion="8" minRefreshableVersion="3" subtotalHiddenItems="1" itemPrintTitles="1" createdVersion="5" indent="0" outline="1" outlineData="1" multipleFieldFilters="0" chartFormat="22">
  <location ref="A77:B8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3">
      <pivotArea outline="0" collapsedLevelsAreSubtotals="1" fieldPosition="0"/>
    </format>
  </formats>
  <chartFormats count="4">
    <chartFormat chart="17"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55BC4B-4E1B-4037-8021-A9A2149CDF18}" name="PivotTable3" cacheId="3" applyNumberFormats="0" applyBorderFormats="0" applyFontFormats="0" applyPatternFormats="0" applyAlignmentFormats="0" applyWidthHeightFormats="1" dataCaption="Values" tag="7c8511e2-1758-4ecd-ad12-5433bc633c87" updatedVersion="8" minRefreshableVersion="3" subtotalHiddenItems="1" itemPrintTitles="1" createdVersion="5" indent="0" outline="1" outlineData="1" multipleFieldFilters="0">
  <location ref="A17:A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4">
      <pivotArea outline="0" collapsedLevelsAreSubtotals="1" fieldPosition="0"/>
    </format>
  </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36A5D4-3C7E-4328-AE03-8B01D847E174}" name="PivotTable9" cacheId="8" applyNumberFormats="0" applyBorderFormats="0" applyFontFormats="0" applyPatternFormats="0" applyAlignmentFormats="0" applyWidthHeightFormats="1" dataCaption="Values" tag="2efd6167-2548-49a7-a9d0-143db924b77f" updatedVersion="8" minRefreshableVersion="3" subtotalHiddenItems="1" itemPrintTitles="1" createdVersion="5" indent="0" outline="1" outlineData="1" multipleFieldFilters="0" chartFormat="17">
  <location ref="A70:B7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6">
      <pivotArea outline="0" collapsedLevelsAreSubtotals="1" fieldPosition="0"/>
    </format>
    <format dxfId="5">
      <pivotArea collapsedLevelsAreSubtotals="1" fieldPosition="0">
        <references count="1">
          <reference field="1" count="0"/>
        </references>
      </pivotArea>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C56EC9-59DE-467B-BBBB-9C78ED915C07}" name="PivotTable7" cacheId="6" applyNumberFormats="0" applyBorderFormats="0" applyFontFormats="0" applyPatternFormats="0" applyAlignmentFormats="0" applyWidthHeightFormats="1" dataCaption="Values" tag="2efd6167-2548-49a7-a9d0-143db924b77f" updatedVersion="8" minRefreshableVersion="3" subtotalHiddenItems="1" itemPrintTitles="1" createdVersion="5" indent="0" outline="1" outlineData="1" multipleFieldFilters="0" chartFormat="2">
  <location ref="A52:C5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8">
      <pivotArea outline="0" collapsedLevelsAreSubtotals="1" fieldPosition="0"/>
    </format>
    <format dxfId="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6">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F5B8DA-1965-48CA-A827-A4A1797C6F0A}" name="PivotTable4" cacheId="0" applyNumberFormats="0" applyBorderFormats="0" applyFontFormats="0" applyPatternFormats="0" applyAlignmentFormats="0" applyWidthHeightFormats="1" dataCaption="Values" tag="43c948a3-1812-4761-8b73-38234324143c" updatedVersion="8" minRefreshableVersion="3" subtotalHiddenItems="1" itemPrintTitles="1" createdVersion="5" indent="0" outline="1" outlineData="1" multipleFieldFilters="0" chartFormat="66">
  <location ref="C6:D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9">
      <pivotArea dataOnly="0" labelOnly="1" fieldPosition="0">
        <references count="1">
          <reference field="1" count="1">
            <x v="30"/>
          </reference>
        </references>
      </pivotArea>
    </format>
  </formats>
  <chartFormats count="2">
    <chartFormat chart="62" format="7" series="1">
      <pivotArea type="data" outline="0" fieldPosition="0">
        <references count="1">
          <reference field="4294967294" count="1" selected="0">
            <x v="0"/>
          </reference>
        </references>
      </pivotArea>
    </chartFormat>
    <chartFormat chart="64" format="8"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C91CF8-81F2-4ACA-8297-B89B30CC722A}" name="PivotTable6" cacheId="5" applyNumberFormats="0" applyBorderFormats="0" applyFontFormats="0" applyPatternFormats="0" applyAlignmentFormats="0" applyWidthHeightFormats="1" dataCaption="Values" tag="8f4bbcd7-0811-414c-91f9-5b956ca5702a" updatedVersion="8" minRefreshableVersion="3" subtotalHiddenItems="1" itemPrintTitles="1" createdVersion="5" indent="0" outline="1" outlineData="1" multipleFieldFilters="0" chartFormat="83">
  <location ref="O6:P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2">
    <format dxfId="11">
      <pivotArea dataOnly="0" labelOnly="1" fieldPosition="0">
        <references count="1">
          <reference field="0" count="1">
            <x v="30"/>
          </reference>
        </references>
      </pivotArea>
    </format>
    <format dxfId="10">
      <pivotArea outline="0" collapsedLevelsAreSubtotals="1" fieldPosition="0"/>
    </format>
  </formats>
  <chartFormats count="3">
    <chartFormat chart="77" format="0" series="1">
      <pivotArea type="data" outline="0" fieldPosition="0">
        <references count="1">
          <reference field="4294967294" count="1" selected="0">
            <x v="0"/>
          </reference>
        </references>
      </pivotArea>
    </chartFormat>
    <chartFormat chart="80" format="2" series="1">
      <pivotArea type="data" outline="0" fieldPosition="0">
        <references count="1">
          <reference field="4294967294" count="1" selected="0">
            <x v="0"/>
          </reference>
        </references>
      </pivotArea>
    </chartFormat>
    <chartFormat chart="8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8931BB-29D4-43FD-8F8B-FBC940E91B48}" name="PivotTable1" cacheId="1" applyNumberFormats="0" applyBorderFormats="0" applyFontFormats="0" applyPatternFormats="0" applyAlignmentFormats="0" applyWidthHeightFormats="1" dataCaption="Values" tag="552c5f5c-7e18-4436-b82e-23cc33ae30ca" updatedVersion="8"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F264F7-6F78-48CC-816B-5D8ABCCAE02C}" name="PivotTable11" cacheId="10" applyNumberFormats="0" applyBorderFormats="0" applyFontFormats="0" applyPatternFormats="0" applyAlignmentFormats="0" applyWidthHeightFormats="1" dataCaption="Values" tag="2efd6167-2548-49a7-a9d0-143db924b77f" updatedVersion="8" minRefreshableVersion="3" subtotalHiddenItems="1" itemPrintTitles="1" createdVersion="5" indent="0" outline="1" outlineData="1" multipleFieldFilters="0" chartFormat="26">
  <location ref="A84:B93"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6"/>
    </i>
    <i>
      <x/>
    </i>
    <i>
      <x v="1"/>
    </i>
    <i>
      <x v="3"/>
    </i>
    <i>
      <x v="7"/>
    </i>
    <i t="grand">
      <x/>
    </i>
  </rowItems>
  <colItems count="1">
    <i/>
  </colItems>
  <dataFields count="1">
    <dataField name="Count of Department Referral" fld="2" subtotal="count" baseField="0" baseItem="0"/>
  </dataFields>
  <formats count="2">
    <format dxfId="13">
      <pivotArea outline="0" collapsedLevelsAreSubtotals="1" fieldPosition="0"/>
    </format>
    <format dxfId="12">
      <pivotArea collapsedLevelsAreSubtotals="1" fieldPosition="0">
        <references count="1">
          <reference field="1" count="0"/>
        </references>
      </pivotArea>
    </format>
  </formats>
  <chartFormats count="2">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FF34BB-5490-4C37-B888-67E3E33EF8A8}" name="PivotTable2" cacheId="2" applyNumberFormats="0" applyBorderFormats="0" applyFontFormats="0" applyPatternFormats="0" applyAlignmentFormats="0" applyWidthHeightFormats="1" dataCaption="Values" tag="068a84e4-44ff-4fd1-9ecc-f0661cc38ed8"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4">
      <pivotArea outline="0" collapsedLevelsAreSubtotals="1" fieldPosition="0"/>
    </format>
  </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C4534E-6FEA-4BE7-BA69-F995229B68AF}" name="PivotTable12" cacheId="11" applyNumberFormats="0" applyBorderFormats="0" applyFontFormats="0" applyPatternFormats="0" applyAlignmentFormats="0" applyWidthHeightFormats="1" dataCaption="Values" tag="2efd6167-2548-49a7-a9d0-143db924b77f" updatedVersion="8" minRefreshableVersion="3" subtotalHiddenItems="1" itemPrintTitles="1" createdVersion="5" indent="0" outline="1" outlineData="1" multipleFieldFilters="0" chartFormat="26">
  <location ref="A97:A9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5">
      <pivotArea outline="0" collapsedLevelsAreSubtotals="1" fieldPosition="0"/>
    </format>
  </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411F408-8AF8-4239-B18B-F402136DB2D5}"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404039756">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45344E6-773F-4FFB-8DDA-FCC7F0C1C3B4}"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40403975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DA6EE07-2091-42B4-B817-167CDF825CA8}" cache="Slicer_Date__Month" caption="Date (Month)" showCaption="0" level="1" style="saajan style" rowHeight="288000"/>
  <slicer name="Date (Year)" xr10:uid="{EDD4A19E-18FA-44C3-83C6-A9619990740B}" cache="Slicer_Date__Year" caption="Date (Year)" columnCount="2" showCaption="0" level="1" style="saajan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40CB5-1F38-44B3-A8D4-1B258A54ABB4}">
  <sheetPr codeName="Sheet1"/>
  <dimension ref="A4:P99"/>
  <sheetViews>
    <sheetView zoomScale="146" zoomScaleNormal="102" workbookViewId="0">
      <selection activeCell="A97" sqref="A97"/>
    </sheetView>
  </sheetViews>
  <sheetFormatPr defaultRowHeight="14.4" x14ac:dyDescent="0.3"/>
  <cols>
    <col min="1" max="1" width="17.88671875" customWidth="1"/>
    <col min="2" max="2" width="13.5546875" customWidth="1"/>
    <col min="3" max="3" width="8.77734375" customWidth="1"/>
    <col min="4" max="4" width="24.109375" bestFit="1" customWidth="1"/>
    <col min="10" max="10" width="24.109375" bestFit="1" customWidth="1"/>
    <col min="16" max="16" width="32.77734375" bestFit="1" customWidth="1"/>
  </cols>
  <sheetData>
    <row r="4" spans="1:16" x14ac:dyDescent="0.3">
      <c r="C4" s="6" t="s">
        <v>7</v>
      </c>
      <c r="I4" s="17" t="s">
        <v>8</v>
      </c>
      <c r="J4" s="17"/>
      <c r="O4" t="s">
        <v>11</v>
      </c>
    </row>
    <row r="5" spans="1:16" x14ac:dyDescent="0.3">
      <c r="A5" t="s">
        <v>1</v>
      </c>
    </row>
    <row r="6" spans="1:16" x14ac:dyDescent="0.3">
      <c r="A6" t="s">
        <v>0</v>
      </c>
      <c r="C6" s="1" t="s">
        <v>4</v>
      </c>
      <c r="D6" t="s">
        <v>0</v>
      </c>
      <c r="I6" s="1" t="s">
        <v>4</v>
      </c>
      <c r="J6" t="s">
        <v>2</v>
      </c>
      <c r="O6" s="1" t="s">
        <v>4</v>
      </c>
      <c r="P6" t="s">
        <v>3</v>
      </c>
    </row>
    <row r="7" spans="1:16" x14ac:dyDescent="0.3">
      <c r="A7">
        <v>469</v>
      </c>
      <c r="C7" s="4" t="s">
        <v>47</v>
      </c>
      <c r="D7">
        <v>12</v>
      </c>
      <c r="I7" s="4" t="s">
        <v>47</v>
      </c>
      <c r="J7" s="2">
        <v>29.833333333333332</v>
      </c>
      <c r="O7" s="4" t="s">
        <v>47</v>
      </c>
      <c r="P7" s="2">
        <v>3.5</v>
      </c>
    </row>
    <row r="8" spans="1:16" x14ac:dyDescent="0.3">
      <c r="C8" s="4" t="s">
        <v>48</v>
      </c>
      <c r="D8">
        <v>18</v>
      </c>
      <c r="I8" s="4" t="s">
        <v>48</v>
      </c>
      <c r="J8" s="2">
        <v>34.777777777777779</v>
      </c>
      <c r="O8" s="4" t="s">
        <v>48</v>
      </c>
      <c r="P8" s="2">
        <v>5.8</v>
      </c>
    </row>
    <row r="9" spans="1:16" x14ac:dyDescent="0.3">
      <c r="C9" s="4" t="s">
        <v>49</v>
      </c>
      <c r="D9">
        <v>17</v>
      </c>
      <c r="I9" s="4" t="s">
        <v>49</v>
      </c>
      <c r="J9" s="2">
        <v>35</v>
      </c>
      <c r="O9" s="4" t="s">
        <v>49</v>
      </c>
      <c r="P9" s="2">
        <v>3.6</v>
      </c>
    </row>
    <row r="10" spans="1:16" x14ac:dyDescent="0.3">
      <c r="C10" s="4" t="s">
        <v>50</v>
      </c>
      <c r="D10">
        <v>15</v>
      </c>
      <c r="I10" s="4" t="s">
        <v>50</v>
      </c>
      <c r="J10" s="2">
        <v>34.06666666666667</v>
      </c>
      <c r="O10" s="4" t="s">
        <v>50</v>
      </c>
      <c r="P10" s="2">
        <v>7.25</v>
      </c>
    </row>
    <row r="11" spans="1:16" x14ac:dyDescent="0.3">
      <c r="C11" s="4" t="s">
        <v>51</v>
      </c>
      <c r="D11">
        <v>13</v>
      </c>
      <c r="I11" s="4" t="s">
        <v>51</v>
      </c>
      <c r="J11" s="2">
        <v>34.846153846153847</v>
      </c>
      <c r="O11" s="4" t="s">
        <v>51</v>
      </c>
      <c r="P11" s="2">
        <v>4</v>
      </c>
    </row>
    <row r="12" spans="1:16" x14ac:dyDescent="0.3">
      <c r="A12" t="s">
        <v>2</v>
      </c>
      <c r="C12" s="4" t="s">
        <v>52</v>
      </c>
      <c r="D12">
        <v>11</v>
      </c>
      <c r="I12" s="4" t="s">
        <v>52</v>
      </c>
      <c r="J12" s="2">
        <v>36.81818181818182</v>
      </c>
      <c r="O12" s="4" t="s">
        <v>52</v>
      </c>
      <c r="P12" s="2">
        <v>6.2</v>
      </c>
    </row>
    <row r="13" spans="1:16" x14ac:dyDescent="0.3">
      <c r="A13" s="2">
        <v>34.268656716417908</v>
      </c>
      <c r="C13" s="4" t="s">
        <v>53</v>
      </c>
      <c r="D13">
        <v>14</v>
      </c>
      <c r="I13" s="4" t="s">
        <v>53</v>
      </c>
      <c r="J13" s="2">
        <v>34.5</v>
      </c>
      <c r="O13" s="4" t="s">
        <v>53</v>
      </c>
      <c r="P13" s="2">
        <v>6.5</v>
      </c>
    </row>
    <row r="14" spans="1:16" x14ac:dyDescent="0.3">
      <c r="C14" s="4" t="s">
        <v>54</v>
      </c>
      <c r="D14">
        <v>17</v>
      </c>
      <c r="I14" s="4" t="s">
        <v>54</v>
      </c>
      <c r="J14" s="2">
        <v>32.882352941176471</v>
      </c>
      <c r="O14" s="4" t="s">
        <v>54</v>
      </c>
      <c r="P14" s="2">
        <v>6</v>
      </c>
    </row>
    <row r="15" spans="1:16" x14ac:dyDescent="0.3">
      <c r="C15" s="4" t="s">
        <v>55</v>
      </c>
      <c r="D15">
        <v>15</v>
      </c>
      <c r="I15" s="4" t="s">
        <v>55</v>
      </c>
      <c r="J15" s="2">
        <v>43.466666666666669</v>
      </c>
      <c r="O15" s="4" t="s">
        <v>55</v>
      </c>
      <c r="P15" s="2">
        <v>1.5</v>
      </c>
    </row>
    <row r="16" spans="1:16" x14ac:dyDescent="0.3">
      <c r="C16" s="4" t="s">
        <v>56</v>
      </c>
      <c r="D16">
        <v>16</v>
      </c>
      <c r="I16" s="4" t="s">
        <v>56</v>
      </c>
      <c r="J16" s="2">
        <v>28.375</v>
      </c>
      <c r="O16" s="4" t="s">
        <v>56</v>
      </c>
      <c r="P16" s="2">
        <v>2.5</v>
      </c>
    </row>
    <row r="17" spans="1:16" x14ac:dyDescent="0.3">
      <c r="A17" t="s">
        <v>3</v>
      </c>
      <c r="C17" s="4" t="s">
        <v>57</v>
      </c>
      <c r="D17">
        <v>9</v>
      </c>
      <c r="I17" s="4" t="s">
        <v>57</v>
      </c>
      <c r="J17" s="2">
        <v>34.777777777777779</v>
      </c>
      <c r="O17" s="4" t="s">
        <v>57</v>
      </c>
      <c r="P17" s="2">
        <v>7.25</v>
      </c>
    </row>
    <row r="18" spans="1:16" x14ac:dyDescent="0.3">
      <c r="A18" s="2">
        <v>4.9837398373983737</v>
      </c>
      <c r="C18" s="4" t="s">
        <v>58</v>
      </c>
      <c r="D18">
        <v>10</v>
      </c>
      <c r="I18" s="4" t="s">
        <v>58</v>
      </c>
      <c r="J18" s="2">
        <v>35.200000000000003</v>
      </c>
      <c r="O18" s="4" t="s">
        <v>58</v>
      </c>
      <c r="P18" s="2">
        <v>1.5</v>
      </c>
    </row>
    <row r="19" spans="1:16" x14ac:dyDescent="0.3">
      <c r="C19" s="4" t="s">
        <v>59</v>
      </c>
      <c r="D19">
        <v>12</v>
      </c>
      <c r="I19" s="4" t="s">
        <v>59</v>
      </c>
      <c r="J19" s="2">
        <v>32</v>
      </c>
      <c r="O19" s="4" t="s">
        <v>59</v>
      </c>
      <c r="P19" s="2">
        <v>5</v>
      </c>
    </row>
    <row r="20" spans="1:16" x14ac:dyDescent="0.3">
      <c r="C20" s="4" t="s">
        <v>60</v>
      </c>
      <c r="D20">
        <v>13</v>
      </c>
      <c r="I20" s="4" t="s">
        <v>60</v>
      </c>
      <c r="J20" s="2">
        <v>37.615384615384613</v>
      </c>
      <c r="O20" s="4" t="s">
        <v>60</v>
      </c>
      <c r="P20" s="2">
        <v>6.5</v>
      </c>
    </row>
    <row r="21" spans="1:16" x14ac:dyDescent="0.3">
      <c r="C21" s="4" t="s">
        <v>61</v>
      </c>
      <c r="D21">
        <v>26</v>
      </c>
      <c r="I21" s="4" t="s">
        <v>61</v>
      </c>
      <c r="J21" s="2">
        <v>37.384615384615387</v>
      </c>
      <c r="O21" s="4" t="s">
        <v>61</v>
      </c>
      <c r="P21" s="2">
        <v>4.1111111111111107</v>
      </c>
    </row>
    <row r="22" spans="1:16" x14ac:dyDescent="0.3">
      <c r="C22" s="4" t="s">
        <v>62</v>
      </c>
      <c r="D22">
        <v>22</v>
      </c>
      <c r="I22" s="4" t="s">
        <v>62</v>
      </c>
      <c r="J22" s="2">
        <v>33.954545454545453</v>
      </c>
      <c r="O22" s="4" t="s">
        <v>62</v>
      </c>
      <c r="P22" s="2">
        <v>6.6</v>
      </c>
    </row>
    <row r="23" spans="1:16" x14ac:dyDescent="0.3">
      <c r="C23" s="4" t="s">
        <v>63</v>
      </c>
      <c r="D23">
        <v>16</v>
      </c>
      <c r="I23" s="4" t="s">
        <v>63</v>
      </c>
      <c r="J23" s="2">
        <v>32.5</v>
      </c>
      <c r="O23" s="4" t="s">
        <v>63</v>
      </c>
      <c r="P23" s="2">
        <v>5.2</v>
      </c>
    </row>
    <row r="24" spans="1:16" x14ac:dyDescent="0.3">
      <c r="C24" s="4" t="s">
        <v>64</v>
      </c>
      <c r="D24">
        <v>12</v>
      </c>
      <c r="I24" s="4" t="s">
        <v>64</v>
      </c>
      <c r="J24" s="2">
        <v>37.25</v>
      </c>
      <c r="O24" s="4" t="s">
        <v>64</v>
      </c>
      <c r="P24" s="2">
        <v>5.5</v>
      </c>
    </row>
    <row r="25" spans="1:16" x14ac:dyDescent="0.3">
      <c r="C25" s="4" t="s">
        <v>65</v>
      </c>
      <c r="D25">
        <v>21</v>
      </c>
      <c r="I25" s="4" t="s">
        <v>65</v>
      </c>
      <c r="J25" s="2">
        <v>34.047619047619051</v>
      </c>
      <c r="O25" s="4" t="s">
        <v>65</v>
      </c>
      <c r="P25" s="2">
        <v>3.3333333333333335</v>
      </c>
    </row>
    <row r="26" spans="1:16" x14ac:dyDescent="0.3">
      <c r="C26" s="4" t="s">
        <v>66</v>
      </c>
      <c r="D26">
        <v>12</v>
      </c>
      <c r="I26" s="4" t="s">
        <v>66</v>
      </c>
      <c r="J26" s="2">
        <v>34.583333333333336</v>
      </c>
      <c r="O26" s="4" t="s">
        <v>66</v>
      </c>
      <c r="P26" s="2">
        <v>5</v>
      </c>
    </row>
    <row r="27" spans="1:16" x14ac:dyDescent="0.3">
      <c r="C27" s="4" t="s">
        <v>67</v>
      </c>
      <c r="D27">
        <v>15</v>
      </c>
      <c r="I27" s="4" t="s">
        <v>67</v>
      </c>
      <c r="J27" s="2">
        <v>31</v>
      </c>
      <c r="O27" s="4" t="s">
        <v>67</v>
      </c>
      <c r="P27" s="2">
        <v>6.5</v>
      </c>
    </row>
    <row r="28" spans="1:16" x14ac:dyDescent="0.3">
      <c r="C28" s="4" t="s">
        <v>68</v>
      </c>
      <c r="D28">
        <v>23</v>
      </c>
      <c r="I28" s="4" t="s">
        <v>68</v>
      </c>
      <c r="J28" s="2">
        <v>33.347826086956523</v>
      </c>
      <c r="O28" s="4" t="s">
        <v>68</v>
      </c>
      <c r="P28" s="2">
        <v>3</v>
      </c>
    </row>
    <row r="29" spans="1:16" x14ac:dyDescent="0.3">
      <c r="C29" s="4" t="s">
        <v>69</v>
      </c>
      <c r="D29">
        <v>15</v>
      </c>
      <c r="I29" s="4" t="s">
        <v>69</v>
      </c>
      <c r="J29" s="2">
        <v>33.799999999999997</v>
      </c>
      <c r="O29" s="4" t="s">
        <v>69</v>
      </c>
      <c r="P29" s="2">
        <v>5.333333333333333</v>
      </c>
    </row>
    <row r="30" spans="1:16" x14ac:dyDescent="0.3">
      <c r="C30" s="4" t="s">
        <v>70</v>
      </c>
      <c r="D30">
        <v>15</v>
      </c>
      <c r="I30" s="4" t="s">
        <v>70</v>
      </c>
      <c r="J30" s="2">
        <v>32.466666666666669</v>
      </c>
      <c r="O30" s="4" t="s">
        <v>70</v>
      </c>
      <c r="P30" s="2">
        <v>7.333333333333333</v>
      </c>
    </row>
    <row r="31" spans="1:16" x14ac:dyDescent="0.3">
      <c r="C31" s="4" t="s">
        <v>71</v>
      </c>
      <c r="D31">
        <v>14</v>
      </c>
      <c r="I31" s="4" t="s">
        <v>71</v>
      </c>
      <c r="J31" s="2">
        <v>36.642857142857146</v>
      </c>
      <c r="O31" s="4" t="s">
        <v>71</v>
      </c>
      <c r="P31" s="2">
        <v>5.6</v>
      </c>
    </row>
    <row r="32" spans="1:16" x14ac:dyDescent="0.3">
      <c r="C32" s="4" t="s">
        <v>72</v>
      </c>
      <c r="D32">
        <v>19</v>
      </c>
      <c r="I32" s="4" t="s">
        <v>72</v>
      </c>
      <c r="J32" s="2">
        <v>32.631578947368418</v>
      </c>
      <c r="O32" s="4" t="s">
        <v>72</v>
      </c>
      <c r="P32" s="2">
        <v>4.4000000000000004</v>
      </c>
    </row>
    <row r="33" spans="1:16" x14ac:dyDescent="0.3">
      <c r="C33" s="4" t="s">
        <v>73</v>
      </c>
      <c r="D33">
        <v>17</v>
      </c>
      <c r="I33" s="4" t="s">
        <v>73</v>
      </c>
      <c r="J33" s="2">
        <v>32.176470588235297</v>
      </c>
      <c r="O33" s="4" t="s">
        <v>73</v>
      </c>
      <c r="P33" s="2">
        <v>4</v>
      </c>
    </row>
    <row r="34" spans="1:16" x14ac:dyDescent="0.3">
      <c r="C34" s="4" t="s">
        <v>74</v>
      </c>
      <c r="D34">
        <v>16</v>
      </c>
      <c r="I34" s="4" t="s">
        <v>74</v>
      </c>
      <c r="J34" s="2">
        <v>33.5</v>
      </c>
      <c r="O34" s="4" t="s">
        <v>74</v>
      </c>
      <c r="P34" s="2">
        <v>3</v>
      </c>
    </row>
    <row r="35" spans="1:16" x14ac:dyDescent="0.3">
      <c r="C35" s="4" t="s">
        <v>75</v>
      </c>
      <c r="D35">
        <v>15</v>
      </c>
      <c r="I35" s="4" t="s">
        <v>75</v>
      </c>
      <c r="J35" s="2">
        <v>33.200000000000003</v>
      </c>
      <c r="O35" s="4" t="s">
        <v>75</v>
      </c>
      <c r="P35" s="2">
        <v>5.666666666666667</v>
      </c>
    </row>
    <row r="36" spans="1:16" x14ac:dyDescent="0.3">
      <c r="C36" s="4" t="s">
        <v>76</v>
      </c>
      <c r="D36">
        <v>19</v>
      </c>
      <c r="I36" s="4" t="s">
        <v>76</v>
      </c>
      <c r="J36" s="2">
        <v>35.89473684210526</v>
      </c>
      <c r="O36" s="4" t="s">
        <v>76</v>
      </c>
      <c r="P36" s="2">
        <v>5.8571428571428568</v>
      </c>
    </row>
    <row r="37" spans="1:16" x14ac:dyDescent="0.3">
      <c r="C37" s="4" t="s">
        <v>5</v>
      </c>
      <c r="D37">
        <v>469</v>
      </c>
      <c r="I37" s="4" t="s">
        <v>5</v>
      </c>
      <c r="J37" s="2">
        <v>34.268656716417908</v>
      </c>
      <c r="O37" s="4" t="s">
        <v>5</v>
      </c>
      <c r="P37" s="2">
        <v>4.9837398373983737</v>
      </c>
    </row>
    <row r="46" spans="1:16" x14ac:dyDescent="0.3">
      <c r="A46" s="12" t="s">
        <v>16</v>
      </c>
      <c r="B46" s="13" t="s">
        <v>18</v>
      </c>
      <c r="C46" s="13" t="s">
        <v>17</v>
      </c>
      <c r="D46" s="14"/>
      <c r="E46" s="8"/>
    </row>
    <row r="47" spans="1:16" x14ac:dyDescent="0.3">
      <c r="A47" s="10" t="str">
        <f>A54</f>
        <v>Not Admitted</v>
      </c>
      <c r="B47" s="10">
        <f>GETPIVOTDATA("[Measures].[Count of Patient Admission Flag]",$A$52,"[Hospital Emergency Room Data].[Patient Admission Flag]","[Hospital Emergency Room Data].[Patient Admission Flag].&amp;[Not Admitted]")</f>
        <v>220</v>
      </c>
      <c r="C47" s="11">
        <f>GETPIVOTDATA("[__Xl2].[Measures].[Count of Patient Admission Flag]",$A$52,"[Hospital Emergency Room Data].[Patient Admission Flag]","[Hospital Emergency Room Data].[Patient Admission Flag].&amp;[Not Admitted]")</f>
        <v>0.46908315565031983</v>
      </c>
      <c r="D47" s="10"/>
      <c r="E47" s="9"/>
    </row>
    <row r="48" spans="1:16" x14ac:dyDescent="0.3">
      <c r="A48" s="10" t="str">
        <f>A53</f>
        <v>Admitted</v>
      </c>
      <c r="B48" s="10">
        <f>GETPIVOTDATA("[Measures].[Count of Patient Admission Flag]",$A$52,"[Hospital Emergency Room Data].[Patient Admission Flag]","[Hospital Emergency Room Data].[Patient Admission Flag].&amp;[Admitted]")</f>
        <v>249</v>
      </c>
      <c r="C48" s="11">
        <f>GETPIVOTDATA("[__Xl2].[Measures].[Count of Patient Admission Flag]",$A$52,"[Hospital Emergency Room Data].[Patient Admission Flag]","[Hospital Emergency Room Data].[Patient Admission Flag].&amp;[Admitted]")</f>
        <v>0.53091684434968012</v>
      </c>
      <c r="D48" s="10"/>
      <c r="E48" s="9"/>
    </row>
    <row r="52" spans="1:3" x14ac:dyDescent="0.3">
      <c r="A52" s="1" t="s">
        <v>4</v>
      </c>
      <c r="B52" t="s">
        <v>12</v>
      </c>
      <c r="C52" t="s">
        <v>15</v>
      </c>
    </row>
    <row r="53" spans="1:3" x14ac:dyDescent="0.3">
      <c r="A53" s="4" t="s">
        <v>13</v>
      </c>
      <c r="B53" s="2">
        <v>249</v>
      </c>
      <c r="C53" s="7">
        <v>0.53091684434968012</v>
      </c>
    </row>
    <row r="54" spans="1:3" x14ac:dyDescent="0.3">
      <c r="A54" s="4" t="s">
        <v>14</v>
      </c>
      <c r="B54" s="2">
        <v>220</v>
      </c>
      <c r="C54" s="7">
        <v>0.46908315565031983</v>
      </c>
    </row>
    <row r="55" spans="1:3" x14ac:dyDescent="0.3">
      <c r="A55" s="4" t="s">
        <v>5</v>
      </c>
      <c r="B55" s="2">
        <v>469</v>
      </c>
      <c r="C55" s="7">
        <v>1</v>
      </c>
    </row>
    <row r="57" spans="1:3" x14ac:dyDescent="0.3">
      <c r="A57" s="4" t="s">
        <v>28</v>
      </c>
    </row>
    <row r="58" spans="1:3" x14ac:dyDescent="0.3">
      <c r="A58" s="1" t="s">
        <v>4</v>
      </c>
      <c r="B58" t="s">
        <v>19</v>
      </c>
    </row>
    <row r="59" spans="1:3" x14ac:dyDescent="0.3">
      <c r="A59" s="4" t="s">
        <v>20</v>
      </c>
      <c r="B59" s="2">
        <v>61</v>
      </c>
    </row>
    <row r="60" spans="1:3" x14ac:dyDescent="0.3">
      <c r="A60" s="4" t="s">
        <v>21</v>
      </c>
      <c r="B60" s="2">
        <v>56</v>
      </c>
    </row>
    <row r="61" spans="1:3" x14ac:dyDescent="0.3">
      <c r="A61" s="4" t="s">
        <v>22</v>
      </c>
      <c r="B61" s="2">
        <v>58</v>
      </c>
    </row>
    <row r="62" spans="1:3" x14ac:dyDescent="0.3">
      <c r="A62" s="4" t="s">
        <v>23</v>
      </c>
      <c r="B62" s="2">
        <v>56</v>
      </c>
    </row>
    <row r="63" spans="1:3" x14ac:dyDescent="0.3">
      <c r="A63" s="4" t="s">
        <v>24</v>
      </c>
      <c r="B63" s="2">
        <v>66</v>
      </c>
    </row>
    <row r="64" spans="1:3" x14ac:dyDescent="0.3">
      <c r="A64" s="4" t="s">
        <v>25</v>
      </c>
      <c r="B64" s="2">
        <v>62</v>
      </c>
    </row>
    <row r="65" spans="1:2" x14ac:dyDescent="0.3">
      <c r="A65" s="4" t="s">
        <v>26</v>
      </c>
      <c r="B65" s="2">
        <v>58</v>
      </c>
    </row>
    <row r="66" spans="1:2" x14ac:dyDescent="0.3">
      <c r="A66" s="4" t="s">
        <v>27</v>
      </c>
      <c r="B66" s="2">
        <v>52</v>
      </c>
    </row>
    <row r="67" spans="1:2" x14ac:dyDescent="0.3">
      <c r="A67" s="4" t="s">
        <v>5</v>
      </c>
      <c r="B67" s="2">
        <v>469</v>
      </c>
    </row>
    <row r="69" spans="1:2" x14ac:dyDescent="0.3">
      <c r="A69" s="4" t="s">
        <v>32</v>
      </c>
    </row>
    <row r="70" spans="1:2" x14ac:dyDescent="0.3">
      <c r="A70" s="1" t="s">
        <v>4</v>
      </c>
      <c r="B70" t="s">
        <v>31</v>
      </c>
    </row>
    <row r="71" spans="1:2" x14ac:dyDescent="0.3">
      <c r="A71" s="4" t="s">
        <v>29</v>
      </c>
      <c r="B71" s="15">
        <v>257</v>
      </c>
    </row>
    <row r="72" spans="1:2" x14ac:dyDescent="0.3">
      <c r="A72" s="4" t="s">
        <v>30</v>
      </c>
      <c r="B72" s="15">
        <v>212</v>
      </c>
    </row>
    <row r="73" spans="1:2" x14ac:dyDescent="0.3">
      <c r="A73" s="4" t="s">
        <v>5</v>
      </c>
      <c r="B73" s="2">
        <v>469</v>
      </c>
    </row>
    <row r="76" spans="1:2" x14ac:dyDescent="0.3">
      <c r="A76" s="4" t="s">
        <v>36</v>
      </c>
    </row>
    <row r="77" spans="1:2" x14ac:dyDescent="0.3">
      <c r="A77" s="1" t="s">
        <v>4</v>
      </c>
      <c r="B77" t="s">
        <v>35</v>
      </c>
    </row>
    <row r="78" spans="1:2" x14ac:dyDescent="0.3">
      <c r="A78" s="4" t="s">
        <v>33</v>
      </c>
      <c r="B78" s="2">
        <v>219</v>
      </c>
    </row>
    <row r="79" spans="1:2" x14ac:dyDescent="0.3">
      <c r="A79" s="4" t="s">
        <v>34</v>
      </c>
      <c r="B79" s="2">
        <v>250</v>
      </c>
    </row>
    <row r="80" spans="1:2" x14ac:dyDescent="0.3">
      <c r="A80" s="4" t="s">
        <v>5</v>
      </c>
      <c r="B80" s="2">
        <v>469</v>
      </c>
    </row>
    <row r="84" spans="1:2" x14ac:dyDescent="0.3">
      <c r="A84" s="1" t="s">
        <v>4</v>
      </c>
      <c r="B84" t="s">
        <v>45</v>
      </c>
    </row>
    <row r="85" spans="1:2" x14ac:dyDescent="0.3">
      <c r="A85" s="4" t="s">
        <v>41</v>
      </c>
      <c r="B85" s="15">
        <v>260</v>
      </c>
    </row>
    <row r="86" spans="1:2" x14ac:dyDescent="0.3">
      <c r="A86" s="4" t="s">
        <v>39</v>
      </c>
      <c r="B86" s="15">
        <v>107</v>
      </c>
    </row>
    <row r="87" spans="1:2" x14ac:dyDescent="0.3">
      <c r="A87" s="4" t="s">
        <v>42</v>
      </c>
      <c r="B87" s="15">
        <v>48</v>
      </c>
    </row>
    <row r="88" spans="1:2" x14ac:dyDescent="0.3">
      <c r="A88" s="4" t="s">
        <v>43</v>
      </c>
      <c r="B88" s="15">
        <v>17</v>
      </c>
    </row>
    <row r="89" spans="1:2" x14ac:dyDescent="0.3">
      <c r="A89" s="4" t="s">
        <v>37</v>
      </c>
      <c r="B89" s="15">
        <v>13</v>
      </c>
    </row>
    <row r="90" spans="1:2" x14ac:dyDescent="0.3">
      <c r="A90" s="4" t="s">
        <v>38</v>
      </c>
      <c r="B90" s="15">
        <v>11</v>
      </c>
    </row>
    <row r="91" spans="1:2" x14ac:dyDescent="0.3">
      <c r="A91" s="4" t="s">
        <v>40</v>
      </c>
      <c r="B91" s="15">
        <v>7</v>
      </c>
    </row>
    <row r="92" spans="1:2" x14ac:dyDescent="0.3">
      <c r="A92" s="4" t="s">
        <v>44</v>
      </c>
      <c r="B92" s="15">
        <v>6</v>
      </c>
    </row>
    <row r="93" spans="1:2" x14ac:dyDescent="0.3">
      <c r="A93" s="4" t="s">
        <v>5</v>
      </c>
      <c r="B93" s="2">
        <v>469</v>
      </c>
    </row>
    <row r="97" spans="1:1" x14ac:dyDescent="0.3">
      <c r="A97" s="1" t="s">
        <v>4</v>
      </c>
    </row>
    <row r="98" spans="1:1" x14ac:dyDescent="0.3">
      <c r="A98" s="4" t="s">
        <v>46</v>
      </c>
    </row>
    <row r="99" spans="1:1" x14ac:dyDescent="0.3">
      <c r="A99" s="4" t="s">
        <v>5</v>
      </c>
    </row>
  </sheetData>
  <mergeCells count="1">
    <mergeCell ref="I4:J4"/>
  </mergeCells>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B60D1-16F3-4DDD-84DE-AC9846B5EF0F}">
  <sheetPr codeName="Sheet4"/>
  <dimension ref="D28:P28"/>
  <sheetViews>
    <sheetView workbookViewId="0"/>
  </sheetViews>
  <sheetFormatPr defaultRowHeight="14.4" x14ac:dyDescent="0.3"/>
  <sheetData>
    <row r="28" spans="4:16" x14ac:dyDescent="0.3">
      <c r="D28" s="18" t="s">
        <v>9</v>
      </c>
      <c r="E28" s="18"/>
      <c r="F28" s="18"/>
      <c r="G28" s="18"/>
      <c r="H28" s="18"/>
      <c r="I28" s="18"/>
      <c r="J28" s="18"/>
      <c r="K28" s="18"/>
      <c r="L28" s="18"/>
      <c r="M28" s="18"/>
      <c r="N28" s="18"/>
      <c r="O28" s="18"/>
      <c r="P28" s="18"/>
    </row>
  </sheetData>
  <mergeCells count="1">
    <mergeCell ref="D28:P2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C3FD2-97F5-4BC6-B2D1-1DCCDC276B23}">
  <sheetPr codeName="Sheet3"/>
  <dimension ref="A25:Q26"/>
  <sheetViews>
    <sheetView workbookViewId="0"/>
  </sheetViews>
  <sheetFormatPr defaultRowHeight="14.4" x14ac:dyDescent="0.3"/>
  <sheetData>
    <row r="25" spans="1:17" x14ac:dyDescent="0.3">
      <c r="A25" s="5"/>
      <c r="B25" s="5"/>
      <c r="C25" s="5"/>
      <c r="D25" s="19" t="s">
        <v>6</v>
      </c>
      <c r="E25" s="19"/>
      <c r="F25" s="19"/>
      <c r="G25" s="19"/>
      <c r="H25" s="19"/>
      <c r="I25" s="19"/>
      <c r="J25" s="19"/>
      <c r="K25" s="19"/>
      <c r="L25" s="19"/>
      <c r="M25" s="19"/>
      <c r="N25" s="19"/>
      <c r="O25" s="19"/>
      <c r="P25" s="19"/>
      <c r="Q25" s="19"/>
    </row>
    <row r="26" spans="1:17" x14ac:dyDescent="0.3">
      <c r="A26" s="5"/>
      <c r="B26" s="5"/>
      <c r="C26" s="5"/>
      <c r="D26" s="5"/>
      <c r="E26" s="5"/>
      <c r="F26" s="5"/>
      <c r="G26" s="5"/>
      <c r="H26" s="5"/>
      <c r="I26" s="5"/>
      <c r="J26" s="5"/>
      <c r="K26" s="5"/>
      <c r="L26" s="5"/>
      <c r="M26" s="5"/>
      <c r="N26" s="5"/>
      <c r="O26" s="5"/>
      <c r="P26" s="5"/>
      <c r="Q26" s="5"/>
    </row>
  </sheetData>
  <mergeCells count="1">
    <mergeCell ref="D25:Q2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6D3F0-0312-414B-B4DA-AF03F908DAB8}">
  <sheetPr codeName="Sheet2"/>
  <dimension ref="A1:AC30"/>
  <sheetViews>
    <sheetView tabSelected="1" zoomScale="95" zoomScaleNormal="95" workbookViewId="0">
      <selection activeCell="Y19" sqref="Y19"/>
    </sheetView>
  </sheetViews>
  <sheetFormatPr defaultRowHeight="14.4" x14ac:dyDescent="0.3"/>
  <cols>
    <col min="13" max="13" width="9.21875" customWidth="1"/>
  </cols>
  <sheetData>
    <row r="1" spans="1:29" x14ac:dyDescent="0.3">
      <c r="A1" s="3"/>
      <c r="B1" s="3"/>
      <c r="C1" s="3"/>
      <c r="D1" s="3"/>
      <c r="E1" s="3"/>
      <c r="F1" s="3"/>
      <c r="G1" s="3"/>
      <c r="H1" s="3"/>
      <c r="I1" s="3"/>
      <c r="J1" s="3"/>
      <c r="K1" s="3"/>
      <c r="L1" s="3"/>
      <c r="M1" s="3"/>
      <c r="N1" s="3"/>
      <c r="O1" s="3"/>
      <c r="P1" s="3"/>
      <c r="Q1" s="3"/>
      <c r="R1" s="3"/>
      <c r="S1" s="3"/>
      <c r="T1" s="3"/>
      <c r="U1" s="3"/>
      <c r="V1" s="3"/>
      <c r="W1" s="3"/>
      <c r="X1" s="3"/>
      <c r="Y1" s="3"/>
      <c r="Z1" s="3"/>
    </row>
    <row r="2" spans="1:29" x14ac:dyDescent="0.3">
      <c r="A2" s="3"/>
      <c r="B2" s="3"/>
      <c r="C2" s="3"/>
      <c r="D2" s="3"/>
      <c r="E2" s="3"/>
      <c r="F2" s="3"/>
      <c r="G2" s="3"/>
      <c r="H2" s="3"/>
      <c r="I2" s="3"/>
      <c r="J2" s="3"/>
      <c r="K2" s="3"/>
      <c r="L2" s="3"/>
      <c r="M2" s="3"/>
      <c r="N2" s="3"/>
      <c r="O2" s="3"/>
      <c r="P2" s="3"/>
      <c r="Q2" s="3"/>
      <c r="R2" s="3"/>
      <c r="S2" s="3"/>
      <c r="T2" s="3"/>
      <c r="U2" s="3"/>
      <c r="V2" s="3"/>
      <c r="W2" s="3"/>
      <c r="X2" s="3"/>
      <c r="Y2" s="3"/>
      <c r="Z2" s="3"/>
    </row>
    <row r="3" spans="1:29" x14ac:dyDescent="0.3">
      <c r="A3" s="3"/>
      <c r="B3" s="3"/>
      <c r="C3" s="3"/>
      <c r="D3" s="3"/>
      <c r="E3" s="3"/>
      <c r="F3" s="3"/>
      <c r="G3" s="3"/>
      <c r="H3" s="3"/>
      <c r="I3" s="3"/>
      <c r="J3" s="3"/>
      <c r="K3" s="3"/>
      <c r="L3" s="3"/>
      <c r="M3" s="3"/>
      <c r="N3" s="3"/>
      <c r="O3" s="3"/>
      <c r="P3" s="3"/>
      <c r="Q3" s="3"/>
      <c r="R3" s="3"/>
      <c r="S3" s="3"/>
      <c r="T3" s="3"/>
      <c r="U3" s="3"/>
      <c r="V3" s="3"/>
      <c r="W3" s="3"/>
      <c r="X3" s="3"/>
      <c r="Y3" s="3"/>
      <c r="Z3" s="3"/>
    </row>
    <row r="4" spans="1:29" x14ac:dyDescent="0.3">
      <c r="A4" s="3"/>
      <c r="B4" s="3"/>
      <c r="C4" s="3"/>
      <c r="D4" s="3"/>
      <c r="E4" s="3"/>
      <c r="F4" s="3"/>
      <c r="G4" s="3"/>
      <c r="H4" s="3"/>
      <c r="I4" s="3"/>
      <c r="J4" s="3"/>
      <c r="K4" s="3"/>
      <c r="L4" s="3"/>
      <c r="M4" s="3"/>
      <c r="N4" s="3"/>
      <c r="O4" s="3"/>
      <c r="P4" s="3"/>
      <c r="Q4" s="3"/>
      <c r="R4" s="3"/>
      <c r="S4" s="3"/>
      <c r="T4" s="3"/>
      <c r="U4" s="3"/>
      <c r="V4" s="3"/>
      <c r="W4" s="3"/>
      <c r="X4" s="3"/>
      <c r="Y4" s="3"/>
      <c r="Z4" s="3"/>
    </row>
    <row r="5" spans="1:29" x14ac:dyDescent="0.3">
      <c r="A5" s="3"/>
      <c r="B5" s="3"/>
      <c r="C5" s="3"/>
      <c r="D5" s="3"/>
      <c r="E5" s="3"/>
      <c r="F5" s="3"/>
      <c r="G5" s="3"/>
      <c r="H5" s="3"/>
      <c r="I5" s="3"/>
      <c r="J5" s="3"/>
      <c r="K5" s="3"/>
      <c r="L5" s="3"/>
      <c r="M5" s="3"/>
      <c r="N5" s="3"/>
      <c r="O5" s="3"/>
      <c r="P5" s="3"/>
      <c r="Q5" s="3"/>
      <c r="R5" s="3"/>
      <c r="S5" s="3"/>
      <c r="T5" s="3"/>
      <c r="U5" s="3"/>
      <c r="V5" s="3"/>
      <c r="W5" s="3"/>
      <c r="X5" s="3"/>
      <c r="Y5" s="3"/>
      <c r="Z5" s="3"/>
    </row>
    <row r="6" spans="1:29" x14ac:dyDescent="0.3">
      <c r="A6" s="3"/>
      <c r="B6" s="3"/>
      <c r="C6" s="3"/>
      <c r="D6" s="3"/>
      <c r="E6" s="3"/>
      <c r="F6" s="3"/>
      <c r="G6" s="3"/>
      <c r="H6" s="3"/>
      <c r="I6" s="3"/>
      <c r="J6" s="3"/>
      <c r="K6" s="3"/>
      <c r="L6" s="3"/>
      <c r="M6" s="3"/>
      <c r="N6" s="3"/>
      <c r="O6" s="3"/>
      <c r="P6" s="3"/>
      <c r="Q6" s="3"/>
      <c r="R6" s="3"/>
      <c r="S6" s="3"/>
      <c r="T6" s="3"/>
      <c r="U6" s="3"/>
      <c r="V6" s="3"/>
      <c r="W6" s="3"/>
      <c r="X6" s="3"/>
      <c r="Y6" s="3"/>
      <c r="Z6" s="3"/>
    </row>
    <row r="7" spans="1:29" x14ac:dyDescent="0.3">
      <c r="A7" s="3"/>
      <c r="B7" s="3"/>
      <c r="C7" s="3"/>
      <c r="D7" s="3"/>
      <c r="E7" s="3"/>
      <c r="F7" s="3"/>
      <c r="G7" s="3"/>
      <c r="H7" s="3"/>
      <c r="I7" s="3"/>
      <c r="J7" s="3"/>
      <c r="K7" s="3"/>
      <c r="L7" s="3"/>
      <c r="M7" s="3"/>
      <c r="N7" s="3"/>
      <c r="O7" s="3"/>
      <c r="P7" s="3"/>
      <c r="Q7" s="3"/>
      <c r="R7" s="3"/>
      <c r="S7" s="3"/>
      <c r="T7" s="3"/>
      <c r="U7" s="3"/>
      <c r="V7" s="3"/>
      <c r="W7" s="3"/>
      <c r="X7" s="3"/>
      <c r="Y7" s="3"/>
      <c r="Z7" s="3"/>
    </row>
    <row r="8" spans="1:29" x14ac:dyDescent="0.3">
      <c r="A8" s="3"/>
      <c r="B8" s="3"/>
      <c r="C8" s="3"/>
      <c r="D8" s="3"/>
      <c r="E8" s="3"/>
      <c r="F8" s="3"/>
      <c r="G8" s="3"/>
      <c r="H8" s="3"/>
      <c r="I8" s="3"/>
      <c r="J8" s="3"/>
      <c r="K8" s="3"/>
      <c r="L8" s="3"/>
      <c r="M8" s="3"/>
      <c r="N8" s="3"/>
      <c r="O8" s="3"/>
      <c r="P8" s="3"/>
      <c r="Q8" s="3"/>
      <c r="R8" s="3"/>
      <c r="S8" s="3"/>
      <c r="T8" s="3"/>
      <c r="U8" s="3"/>
      <c r="V8" s="3"/>
      <c r="W8" s="3"/>
      <c r="X8" s="3"/>
      <c r="Y8" s="3"/>
      <c r="Z8" s="3"/>
    </row>
    <row r="9" spans="1:29" x14ac:dyDescent="0.3">
      <c r="A9" s="3"/>
      <c r="B9" s="3"/>
      <c r="C9" s="3"/>
      <c r="D9" s="3"/>
      <c r="E9" s="3"/>
      <c r="F9" s="3"/>
      <c r="G9" s="3"/>
      <c r="H9" s="3"/>
      <c r="I9" s="3"/>
      <c r="J9" s="3"/>
      <c r="K9" s="3"/>
      <c r="L9" s="3"/>
      <c r="M9" s="3"/>
      <c r="N9" s="3"/>
      <c r="O9" s="3"/>
      <c r="P9" s="3"/>
      <c r="Q9" s="3"/>
      <c r="R9" s="3"/>
      <c r="S9" s="3"/>
      <c r="T9" s="3"/>
      <c r="U9" s="3"/>
      <c r="V9" s="3"/>
      <c r="W9" s="3"/>
      <c r="X9" s="3"/>
      <c r="Y9" s="3"/>
      <c r="Z9" s="3"/>
    </row>
    <row r="10" spans="1:29" x14ac:dyDescent="0.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9"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9" ht="31.2"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C12" s="16"/>
    </row>
    <row r="13" spans="1:29" x14ac:dyDescent="0.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9"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9"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9"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4EC05-A22F-4219-8CFC-AACD9839DB70}">
  <sheetPr codeName="Sheet5"/>
  <dimension ref="D28:P28"/>
  <sheetViews>
    <sheetView zoomScale="101" workbookViewId="0">
      <selection activeCell="Q26" sqref="Q26"/>
    </sheetView>
  </sheetViews>
  <sheetFormatPr defaultRowHeight="14.4" x14ac:dyDescent="0.3"/>
  <sheetData>
    <row r="28" spans="4:16" x14ac:dyDescent="0.3">
      <c r="D28" s="18" t="s">
        <v>10</v>
      </c>
      <c r="E28" s="18"/>
      <c r="F28" s="18"/>
      <c r="G28" s="18"/>
      <c r="H28" s="18"/>
      <c r="I28" s="18"/>
      <c r="J28" s="18"/>
      <c r="K28" s="18"/>
      <c r="L28" s="18"/>
      <c r="M28" s="18"/>
      <c r="N28" s="18"/>
      <c r="O28" s="18"/>
      <c r="P28" s="18"/>
    </row>
  </sheetData>
  <mergeCells count="1">
    <mergeCell ref="D28:P2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ADB5AE8E-155E-44A4-A5AB-0678907DC963}">
  <ds:schemaRefs/>
</ds:datastoreItem>
</file>

<file path=customXml/itemProps2.xml><?xml version="1.0" encoding="utf-8"?>
<ds:datastoreItem xmlns:ds="http://schemas.openxmlformats.org/officeDocument/2006/customXml" ds:itemID="{0F087473-16B4-4BB7-82E8-36FAE990FBF3}">
  <ds:schemaRefs/>
</ds:datastoreItem>
</file>

<file path=customXml/itemProps3.xml><?xml version="1.0" encoding="utf-8"?>
<ds:datastoreItem xmlns:ds="http://schemas.openxmlformats.org/officeDocument/2006/customXml" ds:itemID="{3D797E12-50C1-4744-B9A2-CE478FD0D018}">
  <ds:schemaRefs/>
</ds:datastoreItem>
</file>

<file path=customXml/itemProps4.xml><?xml version="1.0" encoding="utf-8"?>
<ds:datastoreItem xmlns:ds="http://schemas.openxmlformats.org/officeDocument/2006/customXml" ds:itemID="{CB85084E-18C6-4FF1-81F8-31A8E6178DAA}">
  <ds:schemaRefs/>
</ds:datastoreItem>
</file>

<file path=customXml/itemProps5.xml><?xml version="1.0" encoding="utf-8"?>
<ds:datastoreItem xmlns:ds="http://schemas.openxmlformats.org/officeDocument/2006/customXml" ds:itemID="{4046DD41-3301-4824-857B-58B80F6F0D0F}">
  <ds:schemaRefs/>
</ds:datastoreItem>
</file>

<file path=customXml/itemProps6.xml><?xml version="1.0" encoding="utf-8"?>
<ds:datastoreItem xmlns:ds="http://schemas.openxmlformats.org/officeDocument/2006/customXml" ds:itemID="{29B038C4-1756-46D0-919A-4B1C4FBAB7A2}">
  <ds:schemaRefs/>
</ds:datastoreItem>
</file>

<file path=customXml/itemProps7.xml><?xml version="1.0" encoding="utf-8"?>
<ds:datastoreItem xmlns:ds="http://schemas.openxmlformats.org/officeDocument/2006/customXml" ds:itemID="{0010E064-1618-439A-93A2-BEBE2794E701}">
  <ds:schemaRefs/>
</ds:datastoreItem>
</file>

<file path=customXml/itemProps8.xml><?xml version="1.0" encoding="utf-8"?>
<ds:datastoreItem xmlns:ds="http://schemas.openxmlformats.org/officeDocument/2006/customXml" ds:itemID="{3988292B-A760-4D83-8686-7A2F1AAD693D}">
  <ds:schemaRefs/>
</ds:datastoreItem>
</file>

<file path=customXml/itemProps9.xml><?xml version="1.0" encoding="utf-8"?>
<ds:datastoreItem xmlns:ds="http://schemas.openxmlformats.org/officeDocument/2006/customXml" ds:itemID="{1FB3876D-4F51-46F1-85E0-0093E03291DD}">
  <ds:schemaRefs/>
</ds:datastoreItem>
</file>

<file path=customXml/itemProps10.xml><?xml version="1.0" encoding="utf-8"?>
<ds:datastoreItem xmlns:ds="http://schemas.openxmlformats.org/officeDocument/2006/customXml" ds:itemID="{2B954215-3AF8-4B15-A5C9-3547C3EF7AA2}">
  <ds:schemaRefs>
    <ds:schemaRef ds:uri="http://schemas.microsoft.com/DataMashup"/>
  </ds:schemaRefs>
</ds:datastoreItem>
</file>

<file path=customXml/itemProps11.xml><?xml version="1.0" encoding="utf-8"?>
<ds:datastoreItem xmlns:ds="http://schemas.openxmlformats.org/officeDocument/2006/customXml" ds:itemID="{297326D4-4784-4BD8-875E-E13FC57C552A}">
  <ds:schemaRefs/>
</ds:datastoreItem>
</file>

<file path=customXml/itemProps12.xml><?xml version="1.0" encoding="utf-8"?>
<ds:datastoreItem xmlns:ds="http://schemas.openxmlformats.org/officeDocument/2006/customXml" ds:itemID="{C895CC63-60D3-4207-B87A-F42BE459F1BC}">
  <ds:schemaRefs/>
</ds:datastoreItem>
</file>

<file path=customXml/itemProps13.xml><?xml version="1.0" encoding="utf-8"?>
<ds:datastoreItem xmlns:ds="http://schemas.openxmlformats.org/officeDocument/2006/customXml" ds:itemID="{B9161659-FF33-4185-B54A-0EECB0F42E5A}">
  <ds:schemaRefs/>
</ds:datastoreItem>
</file>

<file path=customXml/itemProps14.xml><?xml version="1.0" encoding="utf-8"?>
<ds:datastoreItem xmlns:ds="http://schemas.openxmlformats.org/officeDocument/2006/customXml" ds:itemID="{5D39002E-97B1-4441-9CFC-9C887FB276CA}">
  <ds:schemaRefs/>
</ds:datastoreItem>
</file>

<file path=customXml/itemProps15.xml><?xml version="1.0" encoding="utf-8"?>
<ds:datastoreItem xmlns:ds="http://schemas.openxmlformats.org/officeDocument/2006/customXml" ds:itemID="{B9450B7F-A205-4686-8CDF-D6BFF37B99D0}">
  <ds:schemaRefs/>
</ds:datastoreItem>
</file>

<file path=customXml/itemProps16.xml><?xml version="1.0" encoding="utf-8"?>
<ds:datastoreItem xmlns:ds="http://schemas.openxmlformats.org/officeDocument/2006/customXml" ds:itemID="{4EFCDA91-9698-4E27-BF68-93EC95AC4A7D}">
  <ds:schemaRefs/>
</ds:datastoreItem>
</file>

<file path=customXml/itemProps17.xml><?xml version="1.0" encoding="utf-8"?>
<ds:datastoreItem xmlns:ds="http://schemas.openxmlformats.org/officeDocument/2006/customXml" ds:itemID="{B03A8D21-B291-4D58-8B21-ACF51863DE9B}">
  <ds:schemaRefs/>
</ds:datastoreItem>
</file>

<file path=customXml/itemProps18.xml><?xml version="1.0" encoding="utf-8"?>
<ds:datastoreItem xmlns:ds="http://schemas.openxmlformats.org/officeDocument/2006/customXml" ds:itemID="{EB3D3F7A-072F-4AB0-B56D-B546CA1853A7}">
  <ds:schemaRefs/>
</ds:datastoreItem>
</file>

<file path=customXml/itemProps19.xml><?xml version="1.0" encoding="utf-8"?>
<ds:datastoreItem xmlns:ds="http://schemas.openxmlformats.org/officeDocument/2006/customXml" ds:itemID="{E76B5745-B5C6-46C0-924B-42B9A36B0C1B}">
  <ds:schemaRefs/>
</ds:datastoreItem>
</file>

<file path=customXml/itemProps20.xml><?xml version="1.0" encoding="utf-8"?>
<ds:datastoreItem xmlns:ds="http://schemas.openxmlformats.org/officeDocument/2006/customXml" ds:itemID="{5510E02A-707B-479B-AD77-A416FCB0FD6E}">
  <ds:schemaRefs/>
</ds:datastoreItem>
</file>

<file path=customXml/itemProps21.xml><?xml version="1.0" encoding="utf-8"?>
<ds:datastoreItem xmlns:ds="http://schemas.openxmlformats.org/officeDocument/2006/customXml" ds:itemID="{AFD20E7E-E9E4-4830-9B78-81E8D4C0D8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Average wait time daily trend</vt:lpstr>
      <vt:lpstr>Daily ER No.of patient</vt:lpstr>
      <vt:lpstr>dashboard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Seelu Saurabh</dc:creator>
  <cp:lastModifiedBy>Seelu Saurabh</cp:lastModifiedBy>
  <dcterms:created xsi:type="dcterms:W3CDTF">2026-09-19T15:07:27Z</dcterms:created>
  <dcterms:modified xsi:type="dcterms:W3CDTF">2026-10-09T10:41:59Z</dcterms:modified>
</cp:coreProperties>
</file>